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hidePivotFieldList="1"/>
  <mc:AlternateContent xmlns:mc="http://schemas.openxmlformats.org/markup-compatibility/2006">
    <mc:Choice Requires="x15">
      <x15ac:absPath xmlns:x15ac="http://schemas.microsoft.com/office/spreadsheetml/2010/11/ac" url="https://depedph-my.sharepoint.com/personal/melvinwilly_roque_deped_gov_ph/Documents/"/>
    </mc:Choice>
  </mc:AlternateContent>
  <xr:revisionPtr revIDLastSave="0" documentId="8_{0DA1ADF5-AECB-4802-9EF1-7468A6A3DF2C}" xr6:coauthVersionLast="47" xr6:coauthVersionMax="47" xr10:uidLastSave="{00000000-0000-0000-0000-000000000000}"/>
  <bookViews>
    <workbookView xWindow="0" yWindow="660" windowWidth="29400" windowHeight="17020" firstSheet="2" activeTab="2" xr2:uid="{E9BE6827-C7B8-9743-8941-650DCB946944}"/>
  </bookViews>
  <sheets>
    <sheet name="PIVOTA" sheetId="16" state="hidden" r:id="rId1"/>
    <sheet name="DASHBOARD DATA" sheetId="4" state="hidden" r:id="rId2"/>
    <sheet name="DASHBOARD" sheetId="14" r:id="rId3"/>
    <sheet name="Tab 1 -QA COMPLIANCE CHECKLIST" sheetId="2" r:id="rId4"/>
    <sheet name="TAB 2- MAIN" sheetId="1" r:id="rId5"/>
  </sheets>
  <definedNames>
    <definedName name="_xlnm._FilterDatabase" localSheetId="4" hidden="1">'TAB 2- MAIN'!$G$3:$G$16</definedName>
  </definedNames>
  <calcPr calcId="191028"/>
  <pivotCaches>
    <pivotCache cacheId="4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14" l="1"/>
  <c r="E18" i="1"/>
  <c r="L32" i="14"/>
  <c r="L33" i="14"/>
  <c r="L34" i="14"/>
  <c r="L35" i="14"/>
  <c r="L36" i="14"/>
  <c r="L37" i="14"/>
  <c r="L38" i="14"/>
  <c r="L39" i="14"/>
  <c r="L40" i="14"/>
  <c r="L41" i="14"/>
  <c r="L42" i="14"/>
  <c r="L43" i="14"/>
  <c r="L44" i="14"/>
  <c r="L31" i="14"/>
  <c r="J32" i="14"/>
  <c r="J33" i="14"/>
  <c r="J34" i="14"/>
  <c r="J35" i="14"/>
  <c r="J36" i="14"/>
  <c r="J37" i="14"/>
  <c r="J38" i="14"/>
  <c r="J39" i="14"/>
  <c r="J40" i="14"/>
  <c r="J41" i="14"/>
  <c r="J42" i="14"/>
  <c r="J43" i="14"/>
  <c r="J44" i="14"/>
  <c r="J31" i="14"/>
  <c r="B32" i="14"/>
  <c r="B33" i="14"/>
  <c r="B34" i="14"/>
  <c r="B35" i="14"/>
  <c r="B36" i="14"/>
  <c r="B37" i="14"/>
  <c r="B38" i="14"/>
  <c r="B39" i="14"/>
  <c r="B40" i="14"/>
  <c r="B41" i="14"/>
  <c r="B42" i="14"/>
  <c r="B43" i="14"/>
  <c r="B44" i="14"/>
  <c r="B31" i="14"/>
  <c r="A32" i="14"/>
  <c r="A33" i="14"/>
  <c r="A34" i="14"/>
  <c r="A35" i="14"/>
  <c r="A36" i="14"/>
  <c r="A37" i="14"/>
  <c r="A38" i="14"/>
  <c r="A39" i="14"/>
  <c r="A40" i="14"/>
  <c r="A41" i="14"/>
  <c r="A42" i="14"/>
  <c r="A43" i="14"/>
  <c r="A44" i="14"/>
  <c r="A31" i="14"/>
  <c r="A16" i="4"/>
  <c r="G22" i="14"/>
  <c r="A17" i="4"/>
  <c r="A18" i="4"/>
  <c r="A19" i="4"/>
  <c r="A20" i="4"/>
  <c r="A21" i="4"/>
  <c r="A22" i="4"/>
  <c r="A23" i="4"/>
  <c r="A24" i="4"/>
  <c r="A25" i="4"/>
  <c r="A26" i="4"/>
  <c r="A27" i="4"/>
  <c r="A28" i="4"/>
  <c r="A29" i="4"/>
  <c r="A30" i="4"/>
  <c r="A31" i="4"/>
  <c r="Q17" i="2"/>
  <c r="B15" i="4" s="1"/>
  <c r="O3" i="2"/>
  <c r="P3" i="2" s="1"/>
  <c r="P4" i="2"/>
  <c r="P8" i="2"/>
  <c r="P11" i="2"/>
  <c r="P13" i="2"/>
  <c r="P14" i="2"/>
  <c r="P15" i="2"/>
  <c r="O5" i="2"/>
  <c r="P5" i="2" s="1"/>
  <c r="O6" i="2"/>
  <c r="P6" i="2" s="1"/>
  <c r="O7" i="2"/>
  <c r="P7" i="2" s="1"/>
  <c r="O9" i="2"/>
  <c r="P9" i="2" s="1"/>
  <c r="O10" i="2"/>
  <c r="P10" i="2" s="1"/>
  <c r="O12" i="2"/>
  <c r="P12" i="2" s="1"/>
  <c r="O16" i="2"/>
  <c r="P16" i="2" s="1"/>
  <c r="O18" i="1"/>
  <c r="B12" i="4" s="1"/>
  <c r="K18" i="1"/>
  <c r="B9" i="4" s="1"/>
  <c r="L18" i="1"/>
  <c r="B10" i="4" s="1"/>
  <c r="M18" i="1"/>
  <c r="J18" i="1"/>
  <c r="B3" i="4"/>
  <c r="D17" i="1"/>
  <c r="N9" i="1"/>
  <c r="N10" i="1"/>
  <c r="N11" i="1"/>
  <c r="N12" i="1"/>
  <c r="N13" i="1"/>
  <c r="N14" i="1"/>
  <c r="N15" i="1"/>
  <c r="N16" i="1"/>
  <c r="N4" i="1"/>
  <c r="N5" i="1"/>
  <c r="N6" i="1"/>
  <c r="N7" i="1"/>
  <c r="N8" i="1"/>
  <c r="N3" i="1"/>
  <c r="N14" i="2"/>
  <c r="O14" i="2" s="1"/>
  <c r="G12" i="1"/>
  <c r="G4" i="1"/>
  <c r="G5" i="1"/>
  <c r="G6" i="1"/>
  <c r="G7" i="1"/>
  <c r="G8" i="1"/>
  <c r="G17" i="1" s="1"/>
  <c r="B4" i="4" s="1"/>
  <c r="G9" i="1"/>
  <c r="G10" i="1"/>
  <c r="G11" i="1"/>
  <c r="G13" i="1"/>
  <c r="G14" i="1"/>
  <c r="G15" i="1"/>
  <c r="G16" i="1"/>
  <c r="G3" i="1"/>
  <c r="N18" i="1" l="1"/>
  <c r="N19" i="1"/>
  <c r="B8" i="4"/>
  <c r="B11" i="4" s="1"/>
</calcChain>
</file>

<file path=xl/sharedStrings.xml><?xml version="1.0" encoding="utf-8"?>
<sst xmlns="http://schemas.openxmlformats.org/spreadsheetml/2006/main" count="410" uniqueCount="150">
  <si>
    <t>DEMOGRAPHICS</t>
  </si>
  <si>
    <t>Sum of TOTAL</t>
  </si>
  <si>
    <t>TOTAL TEACHING AND RELATED TEACHER TO BE TRAINED</t>
  </si>
  <si>
    <t>TOTAL TEACHERS TARGETTED TO BE TRAINED</t>
  </si>
  <si>
    <t>TOTAL SCHOOL HEADS TARGETTED TO BE TRAINED</t>
  </si>
  <si>
    <t>TOTAL SUPERVISORS TARGETTED TO BE TRAINED</t>
  </si>
  <si>
    <t>Grand Total</t>
  </si>
  <si>
    <t>NO. OF ACTIVITIES SCHEDULED IN MAY</t>
  </si>
  <si>
    <t>NO. OF ACTIVITIES SCHEDULED IN JUNE</t>
  </si>
  <si>
    <t>NO. OF ACTIVITIES SCHEDULED IN SEPTEMBER</t>
  </si>
  <si>
    <t>NO. OF ACTIVITIES IN WFP</t>
  </si>
  <si>
    <t>NO. OF QA ACTIVITY PROPOSALS  (INITIAL)</t>
  </si>
  <si>
    <t>NO. OF ACTIVITY PROPOSALS WITH BUDGET VARIANCE (WFP vs Proposal)</t>
  </si>
  <si>
    <t>NO. OF QA ACTIVITY PROPOSALS  (FINAL)</t>
  </si>
  <si>
    <t>ACTIVITY DEMOGRAPHICS</t>
  </si>
  <si>
    <t>TOTAL</t>
  </si>
  <si>
    <t>QA COMPLIANCE CHECKLIST</t>
  </si>
  <si>
    <t>NO. OF ACTIVITY PROPOSALS THAT SATISFIED ALL QA INDICATORS</t>
  </si>
  <si>
    <t>CID PPA  DASHBOARD (2027)</t>
  </si>
  <si>
    <t>NO. OF 
PPAS THAT SATISFIED ALL QA COMPLIANCE INDICATORS</t>
  </si>
  <si>
    <t xml:space="preserve">HRTD </t>
  </si>
  <si>
    <t>CODE</t>
  </si>
  <si>
    <t>LIST OF 2027 CID PPAS</t>
  </si>
  <si>
    <t>PROPONENT/S</t>
  </si>
  <si>
    <t>STATUS OF PROPOSAL</t>
  </si>
  <si>
    <t>%</t>
  </si>
  <si>
    <t xml:space="preserve">ACTIVITY NUMBER 
</t>
  </si>
  <si>
    <t>ACTIVITY TITLES</t>
  </si>
  <si>
    <t>PEDAGOGY  
(1)</t>
  </si>
  <si>
    <t xml:space="preserve">A. SOURCE OF FUND
(2) </t>
  </si>
  <si>
    <t>B. DATE OF CONDUCT 
(3)</t>
  </si>
  <si>
    <t>C. DURATION
 (4)</t>
  </si>
  <si>
    <t>D. VENUE 
(5)</t>
  </si>
  <si>
    <t>E. PERSONS INVOLVED 
(6)</t>
  </si>
  <si>
    <t>F. ACTIVITY RATIONALE 
(7)</t>
  </si>
  <si>
    <t>F. OBJECTIVES (8)
TO = Terminal Objective
EO = Enabling Objective</t>
  </si>
  <si>
    <t>G. EXPECTED OUTPUT/S 
(9)</t>
  </si>
  <si>
    <t>H. RESOURCE/ BUDGETARY REQUIREMENTS 
(10)</t>
  </si>
  <si>
    <t>TRAINING MATRIX 
(11)</t>
  </si>
  <si>
    <t>TOTAL NUMBER OF QA COMPLIANCE 
INDICATORS = 11</t>
  </si>
  <si>
    <t>(Put this as your allocated  Activity Number in the proposal)</t>
  </si>
  <si>
    <t>Clearly specified the Fund source (HRTD/GASS/STO)</t>
  </si>
  <si>
    <t>Specific dates are stated</t>
  </si>
  <si>
    <t>Days/Hours incurred are stated</t>
  </si>
  <si>
    <t>Generically identified (for external providers) or Specifically identifies SDO/LGU facility to be used</t>
  </si>
  <si>
    <t>*TOTAL PAX are stated
*No. of Teachers/ School Heads/ Supervisors participants are segmented into job groups
*No. of PMT  is computed (top management, RPs/LFs, TWGs, etc are explicitly shown)</t>
  </si>
  <si>
    <t>*Needs Assessment is stated (SDO controlled/initiated)
*if for cascading, higher office mandate/s is/are mentioned  and evidenced with  policy citation
*End goals are mentioned</t>
  </si>
  <si>
    <t>*TO is/are outcome stated (as either to contribute to improved comptency, professional practice, performance, application)
*Enabling Objectives are behavioral and observable (what will participants actually do in the activity)
*Enabling objectives are aligned to the TO</t>
  </si>
  <si>
    <t>*Outputs are tangible as product of the activities done across training sessions)
*Outputs are clearly delineated as to involved job groups (Teachers, School Heads, Supervisors)</t>
  </si>
  <si>
    <t>*Budger Breakdown is clearly stated</t>
  </si>
  <si>
    <t>*sessions are presented
*QAME/
Debriefing is included</t>
  </si>
  <si>
    <t>NO. OF INDICATORS MET</t>
  </si>
  <si>
    <t>NO. OF INDICATORS NOT MET</t>
  </si>
  <si>
    <t>ALL MET?</t>
  </si>
  <si>
    <t>DOC SORIANO
DOC PRONDO
DOC CARLOS
DOC TUGADE</t>
  </si>
  <si>
    <t>CID-A1</t>
  </si>
  <si>
    <t xml:space="preserve">MASTERING ASSESSMENT FOR TEACHING AND HIGHER-ORDER LEARNING </t>
  </si>
  <si>
    <t>PASSED</t>
  </si>
  <si>
    <t>Remove the training venue specification in this part</t>
  </si>
  <si>
    <r>
      <t xml:space="preserve">Reconfigure in proposal as stated:
</t>
    </r>
    <r>
      <rPr>
        <b/>
        <sz val="12"/>
        <color theme="1"/>
        <rFont val="Aptos Narrow"/>
        <scheme val="minor"/>
      </rPr>
      <t>TOTAL: 124</t>
    </r>
    <r>
      <rPr>
        <sz val="12"/>
        <color theme="1"/>
        <rFont val="Aptos Narrow"/>
        <family val="2"/>
        <scheme val="minor"/>
      </rPr>
      <t xml:space="preserve">
DETAILS
100 Teachers (20 teachers for English, Math, Science, AP and Filipino learning Areas)
PMT (14)
5 EPS, 1 M&amp;E, 1 Medical, 
1 SDS/ASDS, 1 CHIEF, 5 PSDS
</t>
    </r>
  </si>
  <si>
    <t xml:space="preserve">The EOs seem to be overwhelming. Revisit the EOs, are these achievable after the training duration? Also, avoid double-barreled objectives (verbs, eg. Construct, Validate, Improve). Be realistic and practical.
</t>
  </si>
  <si>
    <t>EO 1 is not an output.
Explicity delineate ouputs:
For teachers:
1.
2.
3.
For School Heads 
1.
2.</t>
  </si>
  <si>
    <t>NOT ALL QA COMPLIANCE INDICATORS MET</t>
  </si>
  <si>
    <t>DOC PANGAN</t>
  </si>
  <si>
    <t>CID-A2</t>
  </si>
  <si>
    <t xml:space="preserve">INSTRUCTIONAL LEADERSHIP UPSKILLING ON INCLUSIVE PEDAGOGY FOR GENERAL EDUCATION RECEIVING TEACHERS </t>
  </si>
  <si>
    <t>NO PROPOSAL SUBMITTED FOR QA</t>
  </si>
  <si>
    <t>DOC PRONDO</t>
  </si>
  <si>
    <t>CID-A3</t>
  </si>
  <si>
    <t>STEM IN MOTION: Instructional Leadership Training on Content, Pedagogy, and Utlization of Mathematics and Science Equipment</t>
  </si>
  <si>
    <r>
      <t xml:space="preserve">Reconfigure in proposal as stated:
</t>
    </r>
    <r>
      <rPr>
        <b/>
        <sz val="12"/>
        <color theme="1"/>
        <rFont val="Aptos Narrow"/>
        <scheme val="minor"/>
      </rPr>
      <t>TOTAL: 134</t>
    </r>
    <r>
      <rPr>
        <sz val="12"/>
        <color theme="1"/>
        <rFont val="Aptos Narrow"/>
        <family val="2"/>
        <scheme val="minor"/>
      </rPr>
      <t xml:space="preserve">
DETAILS
42 Elementary Teachers (MTs/District Coordinators)
70 Secondary Teachers (MTs/District Coordinators)
4 School Heads (Consultants)
PMT (18)
2 EPSvr, 8 Resource Speakers, who/what are the composition of teh 8 PMT (please specify)
</t>
    </r>
  </si>
  <si>
    <t>Provide evidenced-based incorporate SDO data, you can consider stating the realities of the learning area in terms of proficiency, mastery, performance level, or even observations gathered from school visits</t>
  </si>
  <si>
    <t>Explicity delineate ouputs:
For teachers:
1.
2.
3.
For School Heads 
1.
2.</t>
  </si>
  <si>
    <t>DR. SALVADOR</t>
  </si>
  <si>
    <t>CID-A4</t>
  </si>
  <si>
    <t>CID-ILTABS (JHS AND SHS)</t>
  </si>
  <si>
    <t xml:space="preserve">Reconfigure in proposal as stated:
TOTAL: 112
DETAILS
72  Teachers (preferably TIII or higher, distributed across learning areas)
21 SHS Teachers ((preferably TIII or higher)
PMT (17)
1 SDS
1 ASDS
1 Chief
4 Resource Persons
who are the remaining ? Please explicity state as to their position and roles
e.g. 
1 EPS Values - PMT lead
1 Nurse - Medical Officer
1 ...
</t>
  </si>
  <si>
    <t>Remove "1" in TO since you only have one.
EOs are OK.</t>
  </si>
  <si>
    <t>Specifically include QAME in the matrix on a daily basis</t>
  </si>
  <si>
    <t>DOC. TUGADE</t>
  </si>
  <si>
    <t>CID-A5</t>
  </si>
  <si>
    <t>DEEPENING INSTRUCTIONAL LEADERSHIP IN EVERY CLASSROOM THROUGH LITERACY DEVELOPMENT</t>
  </si>
  <si>
    <t>change "with in" to "within"</t>
  </si>
  <si>
    <t>Reconfigure in proposal as stated:
TOTAL: 70
DETAILS
50 Key Elementary (10 per learning Area)
PMT (20)
4 EPSvr(English, Values, MAPEH, TLE)
1 EPSA
1 SDS
1 ASDS
1 CID CHIEF
6 RPs
1 Medical Representative
1 IT
4 TWG (mention the job group/poistion, please specify their roles, e.g. documentation, program, etc.)</t>
  </si>
  <si>
    <t>TO is OK. 
EOs' articulation is good, yet it appears  overwhelming, can these be achieved after the training duration, if you are sure that these EOs will be translated across sessions you may retain. If not, recalibrate as to practicality.</t>
  </si>
  <si>
    <t>OK</t>
  </si>
  <si>
    <t>DOC TEJADA</t>
  </si>
  <si>
    <t>CID-A6</t>
  </si>
  <si>
    <t>EMPOWERING ALS CHAMPIONS'' LITERACY AND NUMERACY INSTRUCTION</t>
  </si>
  <si>
    <t>DR. MATIC</t>
  </si>
  <si>
    <t>CID-A7</t>
  </si>
  <si>
    <t>STRENGTENING BEGINNING LITERACY INSTRUCTION OF UNTRAINED KINDERGARTEN TEACHERS THROUGH SCIENCE OF READING</t>
  </si>
  <si>
    <t xml:space="preserve">Reconfigure in proposal as stated:
TOTAL: 135
DETAILS:
114 Kindergarten Teachers
4 School Head Consultants
6 PSDS (Elementary)
PMT (11)
1 EPSvr - Kinder
1 Chief
1 QAME-TWG
8 Resource Persons
</t>
  </si>
  <si>
    <t>You have double-barreled objective. Please rectify Obj. no. 3</t>
  </si>
  <si>
    <t>For DAY 3, it is suggested that QAME be done before the closing program.</t>
  </si>
  <si>
    <t>CID-A8</t>
  </si>
  <si>
    <t>INSTRUCTIONAL LEADERSHIP TRAINING NON-MAJORS IN VALUES EDUCATION INSTRUCTION AND PERSONAL TRANSFORMATION</t>
  </si>
  <si>
    <t xml:space="preserve">Reconfigure in proposal as stated:
TOTAL: 70
26 Elementary Teachers
25 Secondary Teachers
6 School Head Consultants
PMT (13)
1 EPSvr - Values
1 IT
1 Nurse
1 M&amp;E
6 Resource Persons
1 SDS
1 ASDS
1 CID CHIEF
</t>
  </si>
  <si>
    <t>The rationale is good, but would be better if SDO data/gaps/challenges on CICL and CAR are situated, you may relate this to current realities that the SDO is facing, bullying in classes, occurrence of cases involving violence of children, abuse etc. That through the activity such unwanter and unwarranted cases/instances happen through instructional leadership. This would connect it to SDO priorities on a proponent level.</t>
  </si>
  <si>
    <t>Remove "1" in TO since you only have one.
EOs' articulation is good, yet it appears  overwhelming, can these be achieved after the training duration, if you are sure that these EOs will be translated across sessions you may retain. If not, recalibrate as to practicality.</t>
  </si>
  <si>
    <t>Provide WAP context. What is the fous? You just mentioned Values Education. Please revise.</t>
  </si>
  <si>
    <t>Numbers in Frequency Column need to be rectified. "1" to "3"</t>
  </si>
  <si>
    <t>DOC GALICIA</t>
  </si>
  <si>
    <t>CID-A9</t>
  </si>
  <si>
    <t>INSTRUCTIONAL LEADERSHIP ON PEDAGOGY FOR NON-MAPEH MAJORS</t>
  </si>
  <si>
    <t>DOC SORIANO
DOC PRONDO
DOC LLANERA</t>
  </si>
  <si>
    <t>CID-A10</t>
  </si>
  <si>
    <t>ADVANCING STEM LEARNING: Capacitating Senior High School teachers for the Strengthened Mathematics and Science Curriculum</t>
  </si>
  <si>
    <t>Removed "a".</t>
  </si>
  <si>
    <t>CID-A11</t>
  </si>
  <si>
    <t>Advancing Instructional Leadership on Pedagogical, Precision, and Interdisciplinary Practice for VALSNED Teachers</t>
  </si>
  <si>
    <t>DOC MATIC</t>
  </si>
  <si>
    <t>CID-A12</t>
  </si>
  <si>
    <t xml:space="preserve">PRACTICAL  KINDERGARTEN STRATEGIES IN UNDERSTANDING AND MANAGING LEARNER BEHAVIOR </t>
  </si>
  <si>
    <t xml:space="preserve">Reconfigure in proposal as stated:
TOTAL: 109
DETAILS:
88 Kindergarten Teachers
4 School Head Consultants
6 PSDS (Elementary)
PMT (11)
1 EPSvr - Kinder
1 Chief
1 QAME-TWG
8 Resource Persons
</t>
  </si>
  <si>
    <r>
      <t xml:space="preserve">On TO, It's too long, reprhase please.  One liner/paragraph will do. 
On EOs, Obj. 4 "commit" is not measurable, qualify this commitment by putting qualifiers, e.g. Commit to.... by </t>
    </r>
    <r>
      <rPr>
        <b/>
        <sz val="12"/>
        <color theme="1"/>
        <rFont val="Aptos Narrow"/>
        <scheme val="minor"/>
      </rPr>
      <t xml:space="preserve">annotating classroom startegies used  in lesson plans </t>
    </r>
    <r>
      <rPr>
        <sz val="12"/>
        <color theme="1"/>
        <rFont val="Aptos Narrow"/>
        <family val="2"/>
        <scheme val="minor"/>
      </rPr>
      <t>as evidence of learning.</t>
    </r>
  </si>
  <si>
    <t>On resource requirement, how do you define "very good training facilities", provide specs or descriptions at to what you mean by "very good".
Budget breakdown PASSED</t>
  </si>
  <si>
    <t>ASDS ERNEST</t>
  </si>
  <si>
    <t>CID-A13</t>
  </si>
  <si>
    <t>Capacity Building for Araling Panlipunan Master Teachers on Instructional Coaching, Mentoring &amp; Classroom Observation Protocols</t>
  </si>
  <si>
    <t>DOC MANIQUIS</t>
  </si>
  <si>
    <t>CID-A14</t>
  </si>
  <si>
    <t xml:space="preserve">IMPACT: Integrating Modern Pedagogy, Assessment, Competencies, and Technology </t>
  </si>
  <si>
    <t>Just put 3 days</t>
  </si>
  <si>
    <t xml:space="preserve">Reconfigure in proposal as stated:
TOTAL PAX: 149
132 Elementary Teachers 
PMT (17)
Specify the 5 TWG composition
1 SDS
1 ASDS
1 Chief
9 Speakers
</t>
  </si>
  <si>
    <t>Revise, provide institutional data, SDO context, observed field gaps as EPS, performance data to strengten the foundation of the proposal.</t>
  </si>
  <si>
    <t>Revise TO, include in the last line the practice or improvement you expect to achive as result on what you mentioned in the initial lines or consider this as your TO:
***
At the end of the activity, participants will be able to improve tcompetence in developing authentic assessments by designing, refining, and utilizing Performance-Based Assessment (PBA) tasks and rubrics aligned with EPP-TLE learning competencies and performance standards.</t>
  </si>
  <si>
    <t>ACTIVITY NUMBER</t>
  </si>
  <si>
    <t>PROPOSAL SUBMITTED FOR QUALITY ASSURANCE</t>
  </si>
  <si>
    <t>WFP ALLOCATED BUDGET</t>
  </si>
  <si>
    <t>ACTUAL BUGDET IN PROPOSAL</t>
  </si>
  <si>
    <t>VARIANCE</t>
  </si>
  <si>
    <t>IINCLUSIVE DATES</t>
  </si>
  <si>
    <t>BREAKDOWN OF INVOLVED</t>
  </si>
  <si>
    <t>QUALITY-ASSURED PROPOSAL SUBMITTED</t>
  </si>
  <si>
    <t>STATUS</t>
  </si>
  <si>
    <t>FROM</t>
  </si>
  <si>
    <t>TO</t>
  </si>
  <si>
    <t>TEACHER PAX</t>
  </si>
  <si>
    <t>SCHOOL HEAD PAX</t>
  </si>
  <si>
    <t>SUPEVISOR PAX</t>
  </si>
  <si>
    <t>PMT (with RPs/LFs)</t>
  </si>
  <si>
    <t>TOTAL PAX</t>
  </si>
  <si>
    <t>SUBMITTED</t>
  </si>
  <si>
    <t>NO SUBMISSION</t>
  </si>
  <si>
    <t>REFINEMENT</t>
  </si>
  <si>
    <t>-</t>
  </si>
  <si>
    <t>MAY</t>
  </si>
  <si>
    <t>JUNE</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</si>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</sst>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3409]* #,##0.00_-;\-[$₱-3409]* #,##0.00_-;_-[$₱-3409]* &quot;-&quot;??_-;_-@_-"/>
    <numFmt numFmtId="165" formatCode="[$-3409]mmmm\ dd\,\ yyyy;@"/>
  </numFmts>
  <fonts count="27">
    <font>
      <sz val="12"/>
      <color theme="1"/>
      <name val="Aptos Narrow"/>
      <family val="2"/>
      <scheme val="minor"/>
    </font>
    <font>
      <sz val="12"/>
      <color theme="0"/>
      <name val="Aptos Narrow"/>
      <family val="2"/>
      <scheme val="minor"/>
    </font>
    <font>
      <sz val="8"/>
      <name val="Aptos Narrow"/>
      <family val="2"/>
      <scheme val="minor"/>
    </font>
    <font>
      <b/>
      <sz val="12"/>
      <color theme="1"/>
      <name val="Aptos Narrow"/>
      <scheme val="minor"/>
    </font>
    <font>
      <b/>
      <sz val="12"/>
      <color theme="0"/>
      <name val="Aptos Narrow"/>
      <scheme val="minor"/>
    </font>
    <font>
      <sz val="12"/>
      <color theme="1"/>
      <name val="Aptos Narrow"/>
      <scheme val="minor"/>
    </font>
    <font>
      <i/>
      <sz val="12"/>
      <color theme="0"/>
      <name val="Aptos Narrow"/>
      <scheme val="minor"/>
    </font>
    <font>
      <i/>
      <sz val="12"/>
      <color theme="1"/>
      <name val="Aptos Narrow"/>
      <scheme val="minor"/>
    </font>
    <font>
      <sz val="12"/>
      <color rgb="FF000000"/>
      <name val="Aptos Narrow"/>
      <family val="2"/>
      <scheme val="minor"/>
    </font>
    <font>
      <sz val="22"/>
      <color theme="1"/>
      <name val="Bookman Old Style"/>
      <family val="1"/>
    </font>
    <font>
      <sz val="14"/>
      <color theme="1"/>
      <name val="Aptos Narrow"/>
      <family val="2"/>
      <scheme val="minor"/>
    </font>
    <font>
      <sz val="18"/>
      <color theme="1"/>
      <name val="Aptos Narrow"/>
      <family val="2"/>
      <scheme val="minor"/>
    </font>
    <font>
      <sz val="22"/>
      <color theme="1"/>
      <name val="Aptos Narrow"/>
      <family val="2"/>
      <scheme val="minor"/>
    </font>
    <font>
      <sz val="17"/>
      <color theme="1"/>
      <name val="Aptos Narrow"/>
      <family val="2"/>
      <scheme val="minor"/>
    </font>
    <font>
      <b/>
      <sz val="20"/>
      <color rgb="FF0070C0"/>
      <name val="Aptos Narrow"/>
      <scheme val="minor"/>
    </font>
    <font>
      <b/>
      <sz val="17"/>
      <color theme="1"/>
      <name val="Bookman Old Style"/>
      <family val="1"/>
    </font>
    <font>
      <sz val="72"/>
      <color theme="1"/>
      <name val="Aptos Narrow"/>
      <family val="2"/>
      <scheme val="minor"/>
    </font>
    <font>
      <b/>
      <sz val="20"/>
      <color rgb="FFC00000"/>
      <name val="Aptos Narrow"/>
      <scheme val="minor"/>
    </font>
    <font>
      <sz val="72"/>
      <color theme="1"/>
      <name val="American Typewriter"/>
      <family val="1"/>
    </font>
    <font>
      <b/>
      <sz val="100"/>
      <color theme="0"/>
      <name val="Bookman Old Style"/>
      <family val="1"/>
    </font>
    <font>
      <sz val="72"/>
      <color theme="0"/>
      <name val="Aptos Narrow"/>
      <family val="2"/>
      <scheme val="minor"/>
    </font>
    <font>
      <b/>
      <sz val="24"/>
      <color theme="0"/>
      <name val="Aptos Narrow"/>
      <scheme val="minor"/>
    </font>
    <font>
      <b/>
      <sz val="20"/>
      <color theme="0"/>
      <name val="Aptos Narrow"/>
      <scheme val="minor"/>
    </font>
    <font>
      <b/>
      <sz val="22"/>
      <color theme="0"/>
      <name val="Bookman Old Style"/>
      <family val="1"/>
    </font>
    <font>
      <b/>
      <sz val="72"/>
      <color theme="0"/>
      <name val="Aptos Narrow"/>
      <scheme val="minor"/>
    </font>
    <font>
      <b/>
      <sz val="72"/>
      <color theme="0"/>
      <name val="Aptos Narrow (Body)"/>
    </font>
    <font>
      <b/>
      <sz val="72"/>
      <color theme="0"/>
      <name val="Aptos Display"/>
      <scheme val="major"/>
    </font>
  </fonts>
  <fills count="18">
    <fill>
      <patternFill patternType="none"/>
    </fill>
    <fill>
      <patternFill patternType="gray125"/>
    </fill>
    <fill>
      <patternFill patternType="solid">
        <fgColor theme="4"/>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rgb="FF007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53">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vertical="top"/>
    </xf>
    <xf numFmtId="0" fontId="4" fillId="5" borderId="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4" xfId="0" applyFont="1" applyFill="1" applyBorder="1" applyAlignment="1">
      <alignment horizontal="center" vertical="center"/>
    </xf>
    <xf numFmtId="0" fontId="0" fillId="0" borderId="1" xfId="0" applyBorder="1" applyAlignment="1">
      <alignment horizontal="center" vertical="center" wrapText="1"/>
    </xf>
    <xf numFmtId="0" fontId="0" fillId="9" borderId="1" xfId="0" applyFill="1" applyBorder="1" applyAlignment="1">
      <alignment vertical="top" wrapText="1"/>
    </xf>
    <xf numFmtId="164" fontId="0" fillId="11" borderId="1" xfId="0" applyNumberFormat="1" applyFill="1" applyBorder="1" applyAlignment="1">
      <alignment horizontal="center" vertical="center" wrapText="1"/>
    </xf>
    <xf numFmtId="165" fontId="0" fillId="11" borderId="1" xfId="0" applyNumberFormat="1" applyFill="1" applyBorder="1" applyAlignment="1">
      <alignment horizontal="center" vertical="center" wrapText="1"/>
    </xf>
    <xf numFmtId="165" fontId="0" fillId="9" borderId="1" xfId="0" applyNumberFormat="1" applyFill="1" applyBorder="1" applyAlignment="1">
      <alignment horizontal="left" vertical="top" wrapText="1"/>
    </xf>
    <xf numFmtId="1" fontId="0" fillId="9" borderId="1" xfId="0" applyNumberFormat="1" applyFill="1" applyBorder="1" applyAlignment="1">
      <alignment horizontal="left" vertical="top" wrapText="1"/>
    </xf>
    <xf numFmtId="1" fontId="0" fillId="9" borderId="1" xfId="0" applyNumberFormat="1" applyFill="1" applyBorder="1" applyAlignment="1">
      <alignment horizontal="center" vertical="top" wrapText="1"/>
    </xf>
    <xf numFmtId="0" fontId="0" fillId="9" borderId="1" xfId="0" applyFill="1" applyBorder="1" applyAlignment="1">
      <alignment horizontal="center" vertical="top" wrapText="1"/>
    </xf>
    <xf numFmtId="164" fontId="0" fillId="9" borderId="1" xfId="0" applyNumberFormat="1" applyFill="1" applyBorder="1" applyAlignment="1">
      <alignment horizontal="center" vertical="top" wrapText="1"/>
    </xf>
    <xf numFmtId="165" fontId="0" fillId="9" borderId="1" xfId="0" applyNumberForma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4" xfId="0" applyFont="1" applyFill="1" applyBorder="1" applyAlignment="1">
      <alignment vertical="top" wrapText="1"/>
    </xf>
    <xf numFmtId="0" fontId="6" fillId="2" borderId="10" xfId="0" applyFont="1" applyFill="1" applyBorder="1" applyAlignment="1">
      <alignment horizontal="center" vertical="top" wrapText="1"/>
    </xf>
    <xf numFmtId="0" fontId="6" fillId="2" borderId="4" xfId="0" applyFont="1" applyFill="1" applyBorder="1" applyAlignment="1">
      <alignment horizontal="left" vertical="top" wrapText="1"/>
    </xf>
    <xf numFmtId="0" fontId="4" fillId="5" borderId="7"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11" borderId="1" xfId="0" applyFill="1" applyBorder="1" applyAlignment="1">
      <alignment vertical="top" wrapText="1"/>
    </xf>
    <xf numFmtId="0" fontId="0" fillId="11" borderId="1" xfId="0" applyFill="1" applyBorder="1" applyAlignment="1">
      <alignment vertical="top"/>
    </xf>
    <xf numFmtId="0" fontId="0" fillId="11" borderId="1" xfId="0" applyFill="1" applyBorder="1" applyAlignment="1">
      <alignment horizontal="center" vertical="center" wrapText="1"/>
    </xf>
    <xf numFmtId="1" fontId="0" fillId="11" borderId="1" xfId="0" applyNumberFormat="1" applyFill="1" applyBorder="1" applyAlignment="1">
      <alignment horizontal="center" vertical="center" wrapText="1"/>
    </xf>
    <xf numFmtId="0" fontId="0" fillId="0" borderId="0" xfId="0" applyAlignment="1">
      <alignment horizontal="center"/>
    </xf>
    <xf numFmtId="1" fontId="0" fillId="0" borderId="0" xfId="0" applyNumberFormat="1" applyAlignment="1">
      <alignment horizontal="center"/>
    </xf>
    <xf numFmtId="0" fontId="8" fillId="0" borderId="0" xfId="0" applyFont="1"/>
    <xf numFmtId="0" fontId="4" fillId="5" borderId="8"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6" fillId="2" borderId="7" xfId="0" applyFont="1" applyFill="1" applyBorder="1" applyAlignment="1">
      <alignment horizontal="center" vertical="top" wrapText="1"/>
    </xf>
    <xf numFmtId="1" fontId="0" fillId="9" borderId="13" xfId="0" applyNumberFormat="1" applyFill="1" applyBorder="1" applyAlignment="1">
      <alignment horizontal="center" vertical="top" wrapText="1"/>
    </xf>
    <xf numFmtId="165" fontId="0" fillId="9" borderId="13" xfId="0" applyNumberFormat="1" applyFill="1" applyBorder="1" applyAlignment="1">
      <alignment horizontal="center" vertical="top" wrapText="1"/>
    </xf>
    <xf numFmtId="1" fontId="0" fillId="9" borderId="13" xfId="0" applyNumberFormat="1" applyFill="1" applyBorder="1" applyAlignment="1">
      <alignment horizontal="left" vertical="top" wrapText="1"/>
    </xf>
    <xf numFmtId="0" fontId="0" fillId="0" borderId="1" xfId="0" applyBorder="1" applyAlignment="1">
      <alignment horizontal="center" vertical="top" wrapText="1"/>
    </xf>
    <xf numFmtId="0" fontId="3" fillId="12" borderId="4" xfId="0" applyFont="1" applyFill="1" applyBorder="1" applyAlignment="1">
      <alignment horizontal="center" vertical="center" wrapText="1"/>
    </xf>
    <xf numFmtId="0" fontId="7" fillId="12" borderId="5" xfId="0" applyFont="1" applyFill="1" applyBorder="1" applyAlignment="1">
      <alignment vertical="top" wrapText="1"/>
    </xf>
    <xf numFmtId="0" fontId="0" fillId="12" borderId="2" xfId="0" applyFill="1" applyBorder="1" applyAlignment="1">
      <alignment vertical="top" wrapText="1"/>
    </xf>
    <xf numFmtId="0" fontId="0" fillId="12" borderId="2" xfId="0" applyFill="1" applyBorder="1" applyAlignment="1">
      <alignment vertical="top"/>
    </xf>
    <xf numFmtId="0" fontId="0" fillId="12" borderId="1" xfId="0" applyFill="1" applyBorder="1" applyAlignment="1">
      <alignment vertical="top" wrapText="1"/>
    </xf>
    <xf numFmtId="0" fontId="0" fillId="12" borderId="1" xfId="0" applyFill="1" applyBorder="1" applyAlignment="1">
      <alignment vertical="top"/>
    </xf>
    <xf numFmtId="0" fontId="3" fillId="8" borderId="9" xfId="0" applyFont="1" applyFill="1" applyBorder="1" applyAlignment="1">
      <alignment horizontal="center" vertical="center" wrapText="1"/>
    </xf>
    <xf numFmtId="0" fontId="1" fillId="2" borderId="0" xfId="0" applyFont="1" applyFill="1"/>
    <xf numFmtId="0" fontId="0" fillId="11" borderId="0" xfId="0" applyFill="1"/>
    <xf numFmtId="0" fontId="0" fillId="11" borderId="0" xfId="0" applyFill="1" applyAlignment="1">
      <alignment horizontal="left"/>
    </xf>
    <xf numFmtId="0" fontId="0" fillId="12" borderId="7" xfId="0" applyFill="1" applyBorder="1"/>
    <xf numFmtId="0" fontId="0" fillId="12" borderId="6" xfId="0" applyFill="1" applyBorder="1"/>
    <xf numFmtId="0" fontId="0" fillId="12" borderId="10" xfId="0" applyFill="1" applyBorder="1"/>
    <xf numFmtId="0" fontId="0" fillId="12" borderId="11" xfId="0" applyFill="1" applyBorder="1"/>
    <xf numFmtId="0" fontId="0" fillId="12" borderId="16" xfId="0" applyFill="1" applyBorder="1"/>
    <xf numFmtId="0" fontId="0" fillId="12" borderId="17" xfId="0" applyFill="1" applyBorder="1"/>
    <xf numFmtId="0" fontId="0" fillId="10" borderId="7" xfId="0" applyFill="1" applyBorder="1"/>
    <xf numFmtId="0" fontId="0" fillId="10" borderId="8" xfId="0" applyFill="1" applyBorder="1"/>
    <xf numFmtId="0" fontId="0" fillId="10" borderId="6" xfId="0" applyFill="1" applyBorder="1"/>
    <xf numFmtId="0" fontId="0" fillId="10" borderId="10" xfId="0" applyFill="1" applyBorder="1"/>
    <xf numFmtId="0" fontId="0" fillId="10" borderId="0" xfId="0" applyFill="1"/>
    <xf numFmtId="0" fontId="0" fillId="10" borderId="11" xfId="0" applyFill="1" applyBorder="1"/>
    <xf numFmtId="0" fontId="0" fillId="10" borderId="16" xfId="0" applyFill="1" applyBorder="1"/>
    <xf numFmtId="0" fontId="10" fillId="11" borderId="0" xfId="0" applyFont="1" applyFill="1"/>
    <xf numFmtId="164" fontId="16" fillId="11" borderId="0" xfId="0" applyNumberFormat="1" applyFont="1" applyFill="1"/>
    <xf numFmtId="0" fontId="0" fillId="13" borderId="7" xfId="0" applyFill="1" applyBorder="1"/>
    <xf numFmtId="0" fontId="0" fillId="13" borderId="8" xfId="0" applyFill="1" applyBorder="1"/>
    <xf numFmtId="0" fontId="0" fillId="13" borderId="16" xfId="0" applyFill="1" applyBorder="1"/>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center" vertical="center" wrapText="1"/>
    </xf>
    <xf numFmtId="0" fontId="1" fillId="0" borderId="0" xfId="0" applyFont="1" applyAlignment="1">
      <alignment horizontal="center" vertical="center"/>
    </xf>
    <xf numFmtId="164" fontId="1" fillId="0" borderId="0" xfId="0" applyNumberFormat="1" applyFont="1" applyAlignment="1">
      <alignment horizontal="center" vertical="center" wrapText="1"/>
    </xf>
    <xf numFmtId="1" fontId="1" fillId="0" borderId="0" xfId="0" applyNumberFormat="1" applyFont="1" applyAlignment="1">
      <alignment horizontal="center" vertical="center" wrapText="1"/>
    </xf>
    <xf numFmtId="0" fontId="0" fillId="11" borderId="7" xfId="0" applyFill="1" applyBorder="1"/>
    <xf numFmtId="0" fontId="0" fillId="11" borderId="8" xfId="0" applyFill="1" applyBorder="1"/>
    <xf numFmtId="0" fontId="0" fillId="11" borderId="6" xfId="0" applyFill="1" applyBorder="1"/>
    <xf numFmtId="0" fontId="0" fillId="11" borderId="10" xfId="0" applyFill="1" applyBorder="1"/>
    <xf numFmtId="0" fontId="0" fillId="11" borderId="11" xfId="0" applyFill="1" applyBorder="1"/>
    <xf numFmtId="0" fontId="0" fillId="11" borderId="16" xfId="0" applyFill="1" applyBorder="1"/>
    <xf numFmtId="0" fontId="0" fillId="11" borderId="17" xfId="0" applyFill="1" applyBorder="1"/>
    <xf numFmtId="0" fontId="0" fillId="11" borderId="18" xfId="0" applyFill="1" applyBorder="1"/>
    <xf numFmtId="0" fontId="9" fillId="11" borderId="10" xfId="0" applyFont="1" applyFill="1" applyBorder="1" applyAlignment="1">
      <alignment horizontal="center"/>
    </xf>
    <xf numFmtId="0" fontId="11" fillId="11" borderId="0" xfId="0" applyFont="1" applyFill="1"/>
    <xf numFmtId="0" fontId="17" fillId="11" borderId="11" xfId="0" applyFont="1" applyFill="1" applyBorder="1" applyAlignment="1">
      <alignment horizontal="center"/>
    </xf>
    <xf numFmtId="0" fontId="14" fillId="11" borderId="0" xfId="0" applyFont="1" applyFill="1" applyAlignment="1">
      <alignment horizontal="center"/>
    </xf>
    <xf numFmtId="0" fontId="9" fillId="11" borderId="16" xfId="0" applyFont="1" applyFill="1" applyBorder="1" applyAlignment="1">
      <alignment horizontal="center"/>
    </xf>
    <xf numFmtId="0" fontId="11" fillId="11" borderId="18" xfId="0" applyFont="1" applyFill="1" applyBorder="1"/>
    <xf numFmtId="0" fontId="17" fillId="11" borderId="17" xfId="0" applyFont="1" applyFill="1" applyBorder="1" applyAlignment="1">
      <alignment horizontal="center"/>
    </xf>
    <xf numFmtId="0" fontId="1" fillId="10" borderId="18" xfId="0" applyFont="1" applyFill="1" applyBorder="1"/>
    <xf numFmtId="0" fontId="1" fillId="10" borderId="17" xfId="0" applyFont="1" applyFill="1" applyBorder="1"/>
    <xf numFmtId="0" fontId="0" fillId="13" borderId="6" xfId="0" applyFill="1" applyBorder="1"/>
    <xf numFmtId="0" fontId="0" fillId="13" borderId="10" xfId="0" applyFill="1" applyBorder="1"/>
    <xf numFmtId="0" fontId="0" fillId="13" borderId="0" xfId="0" applyFill="1"/>
    <xf numFmtId="0" fontId="0" fillId="13" borderId="11" xfId="0" applyFill="1" applyBorder="1"/>
    <xf numFmtId="0" fontId="0" fillId="13" borderId="18" xfId="0" applyFill="1" applyBorder="1"/>
    <xf numFmtId="0" fontId="0" fillId="13" borderId="17" xfId="0" applyFill="1" applyBorder="1"/>
    <xf numFmtId="0" fontId="1" fillId="16" borderId="8" xfId="0" applyFont="1" applyFill="1" applyBorder="1"/>
    <xf numFmtId="164" fontId="20" fillId="16" borderId="6" xfId="0" applyNumberFormat="1" applyFont="1" applyFill="1" applyBorder="1" applyAlignment="1">
      <alignment horizontal="center"/>
    </xf>
    <xf numFmtId="0" fontId="0" fillId="16" borderId="0" xfId="0" applyFill="1"/>
    <xf numFmtId="0" fontId="23" fillId="16" borderId="7" xfId="0" applyFont="1" applyFill="1" applyBorder="1" applyAlignment="1">
      <alignment horizontal="center"/>
    </xf>
    <xf numFmtId="0" fontId="21" fillId="16" borderId="8" xfId="0" applyFont="1" applyFill="1" applyBorder="1"/>
    <xf numFmtId="0" fontId="21" fillId="16" borderId="8" xfId="0" applyFont="1" applyFill="1" applyBorder="1" applyAlignment="1">
      <alignment horizontal="left"/>
    </xf>
    <xf numFmtId="0" fontId="21" fillId="16" borderId="6" xfId="0" applyFont="1" applyFill="1" applyBorder="1" applyAlignment="1">
      <alignment horizontal="center"/>
    </xf>
    <xf numFmtId="0" fontId="14" fillId="9" borderId="4" xfId="0" applyFont="1" applyFill="1" applyBorder="1" applyAlignment="1">
      <alignment horizontal="center"/>
    </xf>
    <xf numFmtId="0" fontId="14" fillId="9" borderId="9" xfId="0" applyFont="1" applyFill="1" applyBorder="1" applyAlignment="1">
      <alignment horizontal="center"/>
    </xf>
    <xf numFmtId="0" fontId="21" fillId="15" borderId="4" xfId="0" applyFont="1" applyFill="1" applyBorder="1" applyAlignment="1">
      <alignment horizontal="center"/>
    </xf>
    <xf numFmtId="0" fontId="22" fillId="15" borderId="9" xfId="0" applyFont="1" applyFill="1" applyBorder="1" applyAlignment="1">
      <alignment horizontal="center"/>
    </xf>
    <xf numFmtId="0" fontId="0" fillId="7" borderId="0" xfId="0" applyFill="1"/>
    <xf numFmtId="0" fontId="12" fillId="7" borderId="0" xfId="0" applyFont="1" applyFill="1"/>
    <xf numFmtId="164" fontId="20" fillId="16" borderId="18" xfId="0" applyNumberFormat="1" applyFont="1" applyFill="1" applyBorder="1" applyAlignment="1">
      <alignment horizontal="center"/>
    </xf>
    <xf numFmtId="164" fontId="20" fillId="16" borderId="17" xfId="0" applyNumberFormat="1" applyFont="1" applyFill="1" applyBorder="1" applyAlignment="1">
      <alignment horizontal="center"/>
    </xf>
    <xf numFmtId="0" fontId="18" fillId="9" borderId="4" xfId="0" applyFont="1" applyFill="1" applyBorder="1" applyAlignment="1">
      <alignment horizontal="center" vertical="top"/>
    </xf>
    <xf numFmtId="0" fontId="18" fillId="9" borderId="5" xfId="0" applyFont="1" applyFill="1" applyBorder="1" applyAlignment="1">
      <alignment horizontal="center" vertical="top"/>
    </xf>
    <xf numFmtId="0" fontId="24" fillId="15" borderId="9" xfId="0" applyFont="1" applyFill="1" applyBorder="1" applyAlignment="1">
      <alignment horizontal="center" vertical="center"/>
    </xf>
    <xf numFmtId="0" fontId="24" fillId="15" borderId="5" xfId="0" applyFont="1" applyFill="1" applyBorder="1" applyAlignment="1">
      <alignment horizontal="center" vertical="center"/>
    </xf>
    <xf numFmtId="0" fontId="25" fillId="16" borderId="4" xfId="0" applyFont="1" applyFill="1" applyBorder="1" applyAlignment="1">
      <alignment horizontal="center" vertical="center"/>
    </xf>
    <xf numFmtId="0" fontId="22" fillId="16" borderId="9" xfId="0" applyFont="1" applyFill="1" applyBorder="1" applyAlignment="1">
      <alignment horizontal="center" vertical="center"/>
    </xf>
    <xf numFmtId="0" fontId="22" fillId="16" borderId="5" xfId="0" applyFont="1" applyFill="1" applyBorder="1" applyAlignment="1">
      <alignment horizontal="center" vertical="center"/>
    </xf>
    <xf numFmtId="0" fontId="26" fillId="17" borderId="0" xfId="0" applyFont="1" applyFill="1" applyAlignment="1">
      <alignment horizontal="center"/>
    </xf>
    <xf numFmtId="0" fontId="13" fillId="11" borderId="0" xfId="0" applyFont="1" applyFill="1" applyAlignment="1">
      <alignment horizontal="left"/>
    </xf>
    <xf numFmtId="0" fontId="13" fillId="11" borderId="18" xfId="0" applyFont="1" applyFill="1" applyBorder="1" applyAlignment="1">
      <alignment horizontal="left"/>
    </xf>
    <xf numFmtId="0" fontId="15" fillId="15" borderId="6" xfId="0" applyFont="1" applyFill="1" applyBorder="1" applyAlignment="1">
      <alignment horizontal="left" vertical="center" wrapText="1"/>
    </xf>
    <xf numFmtId="0" fontId="15" fillId="15" borderId="11" xfId="0" applyFont="1" applyFill="1" applyBorder="1" applyAlignment="1">
      <alignment horizontal="left" vertical="center" wrapText="1"/>
    </xf>
    <xf numFmtId="0" fontId="15" fillId="15" borderId="17" xfId="0" applyFont="1" applyFill="1" applyBorder="1" applyAlignment="1">
      <alignment horizontal="left" vertical="center" wrapText="1"/>
    </xf>
    <xf numFmtId="0" fontId="19" fillId="14" borderId="7" xfId="0" applyFont="1" applyFill="1" applyBorder="1" applyAlignment="1">
      <alignment horizontal="center" vertical="center" wrapText="1"/>
    </xf>
    <xf numFmtId="0" fontId="19" fillId="14" borderId="10" xfId="0" applyFont="1" applyFill="1" applyBorder="1" applyAlignment="1">
      <alignment horizontal="center" vertical="center" wrapText="1"/>
    </xf>
    <xf numFmtId="0" fontId="19" fillId="14" borderId="16"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3" fillId="12" borderId="5"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8" borderId="6" xfId="0" applyFont="1" applyFill="1" applyBorder="1" applyAlignment="1">
      <alignment horizontal="center" vertical="center" wrapText="1"/>
    </xf>
  </cellXfs>
  <cellStyles count="1">
    <cellStyle name="Normal" xfId="0" builtinId="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9" tint="-0.499984740745262"/>
      </font>
    </dxf>
    <dxf>
      <font>
        <color rgb="FF9C0006"/>
      </font>
      <fill>
        <patternFill>
          <bgColor rgb="FFFFC7CE"/>
        </patternFill>
      </fill>
    </dxf>
    <dxf>
      <font>
        <b/>
        <i val="0"/>
        <color theme="9" tint="-0.499984740745262"/>
      </font>
    </dxf>
    <dxf>
      <font>
        <color rgb="FF9C0006"/>
      </font>
      <fill>
        <patternFill>
          <bgColor rgb="FFFFC7CE"/>
        </patternFill>
      </fill>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[CID-PPAs DASHBOARD.xlsx]PIVOTA!PivotTable8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PIVOTA!$B$2</c:f>
              <c:strCache>
                <c:ptCount val="1"/>
                <c:pt idx="0">
                  <c:v>Total</c:v>
                </c:pt>
              </c:strCache>
            </c:strRef>
          </c:tx>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1B31-CB43-B202-A039B8E9FF66}"/>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8-1B31-CB43-B202-A039B8E9FF66}"/>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B-1B31-CB43-B202-A039B8E9FF66}"/>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A-1B31-CB43-B202-A039B8E9FF6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B31-CB43-B202-A039B8E9FF6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1B31-CB43-B202-A039B8E9FF6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1B31-CB43-B202-A039B8E9FF6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B31-CB43-B202-A039B8E9FF66}"/>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PIVOTA!$A$3:$A$7</c:f>
              <c:strCache>
                <c:ptCount val="4"/>
                <c:pt idx="0">
                  <c:v>TOTAL TEACHING AND RELATED TEACHER TO BE TRAINED</c:v>
                </c:pt>
                <c:pt idx="1">
                  <c:v>TOTAL TEACHERS TARGETTED TO BE TRAINED</c:v>
                </c:pt>
                <c:pt idx="2">
                  <c:v>TOTAL SCHOOL HEADS TARGETTED TO BE TRAINED</c:v>
                </c:pt>
                <c:pt idx="3">
                  <c:v>TOTAL SUPERVISORS TARGETTED TO BE TRAINED</c:v>
                </c:pt>
              </c:strCache>
            </c:strRef>
          </c:cat>
          <c:val>
            <c:numRef>
              <c:f>PIVOTA!$B$3:$B$7</c:f>
              <c:numCache>
                <c:formatCode>General</c:formatCode>
                <c:ptCount val="4"/>
                <c:pt idx="0">
                  <c:v>880</c:v>
                </c:pt>
                <c:pt idx="1">
                  <c:v>840</c:v>
                </c:pt>
                <c:pt idx="2">
                  <c:v>28</c:v>
                </c:pt>
                <c:pt idx="3">
                  <c:v>12</c:v>
                </c:pt>
              </c:numCache>
            </c:numRef>
          </c:val>
          <c:extLst>
            <c:ext xmlns:c16="http://schemas.microsoft.com/office/drawing/2014/chart" uri="{C3380CC4-5D6E-409C-BE32-E72D297353CC}">
              <c16:uniqueId val="{00000017-1B31-CB43-B202-A039B8E9FF66}"/>
            </c:ext>
          </c:extLst>
        </c:ser>
        <c:dLbls>
          <c:showLegendKey val="0"/>
          <c:showVal val="0"/>
          <c:showCatName val="0"/>
          <c:showSerName val="0"/>
          <c:showPercent val="0"/>
          <c:showBubbleSize val="0"/>
        </c:dLbls>
        <c:gapWidth val="150"/>
        <c:axId val="1042328064"/>
        <c:axId val="1051893632"/>
      </c:barChart>
      <c:valAx>
        <c:axId val="1051893632"/>
        <c:scaling>
          <c:orientation val="minMax"/>
        </c:scaling>
        <c:delete val="1"/>
        <c:axPos val="b"/>
        <c:numFmt formatCode="General" sourceLinked="1"/>
        <c:majorTickMark val="out"/>
        <c:minorTickMark val="none"/>
        <c:tickLblPos val="nextTo"/>
        <c:crossAx val="1042328064"/>
        <c:crosses val="autoZero"/>
        <c:crossBetween val="between"/>
      </c:valAx>
      <c:catAx>
        <c:axId val="1042328064"/>
        <c:scaling>
          <c:orientation val="minMax"/>
        </c:scaling>
        <c:delete val="1"/>
        <c:axPos val="l"/>
        <c:numFmt formatCode="General" sourceLinked="1"/>
        <c:majorTickMark val="out"/>
        <c:minorTickMark val="none"/>
        <c:tickLblPos val="nextTo"/>
        <c:crossAx val="1051893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[CID-PPAs DASHBOARD.xlsx]PIVOTA!PivotTable11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PIVOTA!$B$9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97-384B-96DC-80895FD6F4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97-384B-96DC-80895FD6F4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97-384B-96DC-80895FD6F4F4}"/>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PIVOTA!$A$10:$A$13</c:f>
              <c:strCache>
                <c:ptCount val="3"/>
                <c:pt idx="0">
                  <c:v>NO. OF ACTIVITIES SCHEDULED IN MAY</c:v>
                </c:pt>
                <c:pt idx="1">
                  <c:v>NO. OF ACTIVITIES SCHEDULED IN JUNE</c:v>
                </c:pt>
                <c:pt idx="2">
                  <c:v>NO. OF ACTIVITIES SCHEDULED IN SEPTEMBER</c:v>
                </c:pt>
              </c:strCache>
            </c:strRef>
          </c:cat>
          <c:val>
            <c:numRef>
              <c:f>PIVOTA!$B$10:$B$13</c:f>
              <c:numCache>
                <c:formatCode>General</c:formatCode>
                <c:ptCount val="3"/>
                <c:pt idx="0">
                  <c:v>7</c:v>
                </c:pt>
                <c:pt idx="1">
                  <c:v>3</c:v>
                </c:pt>
                <c:pt idx="2">
                  <c:v>3</c:v>
                </c:pt>
              </c:numCache>
            </c:numRef>
          </c:val>
          <c:extLst>
            <c:ext xmlns:c16="http://schemas.microsoft.com/office/drawing/2014/chart" uri="{C3380CC4-5D6E-409C-BE32-E72D297353CC}">
              <c16:uniqueId val="{00000006-9E97-384B-96DC-80895FD6F4F4}"/>
            </c:ext>
          </c:extLst>
        </c:ser>
        <c:dLbls>
          <c:showLegendKey val="0"/>
          <c:showVal val="0"/>
          <c:showCatName val="0"/>
          <c:showSerName val="0"/>
          <c:showPercent val="0"/>
          <c:showBubbleSize val="0"/>
          <c:showLeaderLines val="1"/>
        </c:dLbls>
        <c:firstSliceAng val="243"/>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[CID-PPAs DASHBOARD.xlsx]PIVOTA!PivotTable15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rgbClr val="FFC000"/>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
          <c:y val="2.7907610427338032E-2"/>
          <c:w val="1"/>
          <c:h val="0.94418477914532395"/>
        </c:manualLayout>
      </c:layout>
      <c:barChart>
        <c:barDir val="col"/>
        <c:grouping val="clustered"/>
        <c:varyColors val="1"/>
        <c:ser>
          <c:idx val="0"/>
          <c:order val="0"/>
          <c:tx>
            <c:strRef>
              <c:f>PIVOTA!$B$15</c:f>
              <c:strCache>
                <c:ptCount val="1"/>
                <c:pt idx="0">
                  <c:v>Total</c:v>
                </c:pt>
              </c:strCache>
            </c:strRef>
          </c:tx>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B1E6-5045-A73A-C1A9EDCB96A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B1E6-5045-A73A-C1A9EDCB96A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AEB-3B48-A4E3-3241DA2C02E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AEB-3B48-A4E3-3241DA2C02ED}"/>
              </c:ext>
            </c:extLst>
          </c:dPt>
          <c:dLbls>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PIVOTA!$A$16:$A$20</c:f>
              <c:strCache>
                <c:ptCount val="4"/>
                <c:pt idx="0">
                  <c:v>NO. OF ACTIVITIES IN WFP</c:v>
                </c:pt>
                <c:pt idx="1">
                  <c:v>NO. OF QA ACTIVITY PROPOSALS  (INITIAL)</c:v>
                </c:pt>
                <c:pt idx="2">
                  <c:v>NO. OF ACTIVITY PROPOSALS WITH BUDGET VARIANCE (WFP vs Proposal)</c:v>
                </c:pt>
                <c:pt idx="3">
                  <c:v>NO. OF QA ACTIVITY PROPOSALS  (FINAL)</c:v>
                </c:pt>
              </c:strCache>
            </c:strRef>
          </c:cat>
          <c:val>
            <c:numRef>
              <c:f>PIVOTA!$B$16:$B$20</c:f>
              <c:numCache>
                <c:formatCode>General</c:formatCode>
                <c:ptCount val="4"/>
                <c:pt idx="0">
                  <c:v>14</c:v>
                </c:pt>
                <c:pt idx="1">
                  <c:v>9</c:v>
                </c:pt>
                <c:pt idx="2">
                  <c:v>1</c:v>
                </c:pt>
                <c:pt idx="3">
                  <c:v>0</c:v>
                </c:pt>
              </c:numCache>
            </c:numRef>
          </c:val>
          <c:extLst>
            <c:ext xmlns:c16="http://schemas.microsoft.com/office/drawing/2014/chart" uri="{C3380CC4-5D6E-409C-BE32-E72D297353CC}">
              <c16:uniqueId val="{00000000-B1E6-5045-A73A-C1A9EDCB96A2}"/>
            </c:ext>
          </c:extLst>
        </c:ser>
        <c:dLbls>
          <c:showLegendKey val="0"/>
          <c:showVal val="0"/>
          <c:showCatName val="0"/>
          <c:showSerName val="0"/>
          <c:showPercent val="0"/>
          <c:showBubbleSize val="0"/>
        </c:dLbls>
        <c:gapWidth val="219"/>
        <c:overlap val="-27"/>
        <c:axId val="1074554944"/>
        <c:axId val="1165718656"/>
      </c:barChart>
      <c:catAx>
        <c:axId val="1074554944"/>
        <c:scaling>
          <c:orientation val="minMax"/>
        </c:scaling>
        <c:delete val="1"/>
        <c:axPos val="b"/>
        <c:numFmt formatCode="General" sourceLinked="1"/>
        <c:majorTickMark val="none"/>
        <c:minorTickMark val="none"/>
        <c:tickLblPos val="nextTo"/>
        <c:crossAx val="1165718656"/>
        <c:crosses val="autoZero"/>
        <c:auto val="1"/>
        <c:lblAlgn val="ctr"/>
        <c:lblOffset val="100"/>
        <c:noMultiLvlLbl val="0"/>
      </c:catAx>
      <c:valAx>
        <c:axId val="1165718656"/>
        <c:scaling>
          <c:orientation val="minMax"/>
        </c:scaling>
        <c:delete val="1"/>
        <c:axPos val="l"/>
        <c:numFmt formatCode="General" sourceLinked="1"/>
        <c:majorTickMark val="none"/>
        <c:minorTickMark val="none"/>
        <c:tickLblPos val="nextTo"/>
        <c:crossAx val="107455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6.png"/><Relationship Id="rId18" Type="http://schemas.microsoft.com/office/2007/relationships/hdphoto" Target="../media/hdphoto7.wdp"/><Relationship Id="rId3" Type="http://schemas.microsoft.com/office/2007/relationships/hdphoto" Target="../media/hdphoto1.wdp"/><Relationship Id="rId7" Type="http://schemas.microsoft.com/office/2007/relationships/hdphoto" Target="../media/hdphoto2.wdp"/><Relationship Id="rId12" Type="http://schemas.microsoft.com/office/2007/relationships/hdphoto" Target="../media/hdphoto4.wdp"/><Relationship Id="rId17" Type="http://schemas.openxmlformats.org/officeDocument/2006/relationships/image" Target="../media/image8.png"/><Relationship Id="rId2" Type="http://schemas.openxmlformats.org/officeDocument/2006/relationships/image" Target="../media/image1.png"/><Relationship Id="rId16" Type="http://schemas.microsoft.com/office/2007/relationships/hdphoto" Target="../media/hdphoto6.wdp"/><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chart" Target="../charts/chart2.xml"/><Relationship Id="rId15" Type="http://schemas.openxmlformats.org/officeDocument/2006/relationships/image" Target="../media/image7.png"/><Relationship Id="rId10" Type="http://schemas.microsoft.com/office/2007/relationships/hdphoto" Target="../media/hdphoto3.wdp"/><Relationship Id="rId19" Type="http://schemas.openxmlformats.org/officeDocument/2006/relationships/image" Target="../media/image9.png"/><Relationship Id="rId4" Type="http://schemas.openxmlformats.org/officeDocument/2006/relationships/image" Target="../media/image2.png"/><Relationship Id="rId9" Type="http://schemas.openxmlformats.org/officeDocument/2006/relationships/image" Target="../media/image4.png"/><Relationship Id="rId14" Type="http://schemas.microsoft.com/office/2007/relationships/hdphoto" Target="../media/hdphoto5.wdp"/></Relationships>
</file>

<file path=xl/drawings/drawing1.xml><?xml version="1.0" encoding="utf-8"?>
<xdr:wsDr xmlns:xdr="http://schemas.openxmlformats.org/drawingml/2006/spreadsheetDrawing" xmlns:a="http://schemas.openxmlformats.org/drawingml/2006/main">
  <xdr:twoCellAnchor>
    <xdr:from>
      <xdr:col>8</xdr:col>
      <xdr:colOff>184150</xdr:colOff>
      <xdr:row>4</xdr:row>
      <xdr:rowOff>101600</xdr:rowOff>
    </xdr:from>
    <xdr:to>
      <xdr:col>10</xdr:col>
      <xdr:colOff>850900</xdr:colOff>
      <xdr:row>24</xdr:row>
      <xdr:rowOff>190500</xdr:rowOff>
    </xdr:to>
    <xdr:graphicFrame macro="">
      <xdr:nvGraphicFramePr>
        <xdr:cNvPr id="3" name="Chart 2">
          <a:extLst>
            <a:ext uri="{FF2B5EF4-FFF2-40B4-BE49-F238E27FC236}">
              <a16:creationId xmlns:a16="http://schemas.microsoft.com/office/drawing/2014/main" id="{9D9EEB15-90A7-A400-FE9F-6AA439E91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743856</xdr:colOff>
      <xdr:row>4</xdr:row>
      <xdr:rowOff>134283</xdr:rowOff>
    </xdr:from>
    <xdr:to>
      <xdr:col>9</xdr:col>
      <xdr:colOff>1524000</xdr:colOff>
      <xdr:row>8</xdr:row>
      <xdr:rowOff>145180</xdr:rowOff>
    </xdr:to>
    <xdr:pic>
      <xdr:nvPicPr>
        <xdr:cNvPr id="4" name="Picture 3" descr="The Preacher - Home | Facebook">
          <a:extLst>
            <a:ext uri="{FF2B5EF4-FFF2-40B4-BE49-F238E27FC236}">
              <a16:creationId xmlns:a16="http://schemas.microsoft.com/office/drawing/2014/main" id="{004BA8A4-6F86-BD41-AEB2-809A4A2D5BC8}"/>
            </a:ext>
          </a:extLst>
        </xdr:cNvPr>
        <xdr:cNvPicPr>
          <a:picLocks noChangeAspect="1" noChangeArrowheads="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11326" b="80387" l="9667" r="92333">
                      <a14:foregroundMark x1="71000" y1="13812" x2="60000" y2="11878"/>
                      <a14:foregroundMark x1="60000" y1="11878" x2="53667" y2="18785"/>
                      <a14:foregroundMark x1="53667" y1="18785" x2="53333" y2="18508"/>
                      <a14:foregroundMark x1="12667" y1="49724" x2="17333" y2="56354"/>
                      <a14:foregroundMark x1="9667" y1="51105" x2="11333" y2="47790"/>
                      <a14:foregroundMark x1="92333" y1="66022" x2="91000" y2="51105"/>
                    </a14:backgroundRemoval>
                  </a14:imgEffect>
                </a14:imgLayer>
              </a14:imgProps>
            </a:ext>
            <a:ext uri="{28A0092B-C50C-407E-A947-70E740481C1C}">
              <a14:useLocalDpi xmlns:a14="http://schemas.microsoft.com/office/drawing/2010/main" val="0"/>
            </a:ext>
          </a:extLst>
        </a:blip>
        <a:srcRect l="5482" t="9469" b="19539"/>
        <a:stretch>
          <a:fillRect/>
        </a:stretch>
      </xdr:blipFill>
      <xdr:spPr bwMode="auto">
        <a:xfrm flipH="1">
          <a:off x="13715999" y="1567569"/>
          <a:ext cx="780144" cy="809182"/>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1508374</xdr:colOff>
      <xdr:row>6</xdr:row>
      <xdr:rowOff>148392</xdr:rowOff>
    </xdr:from>
    <xdr:to>
      <xdr:col>9</xdr:col>
      <xdr:colOff>3483427</xdr:colOff>
      <xdr:row>8</xdr:row>
      <xdr:rowOff>145143</xdr:rowOff>
    </xdr:to>
    <xdr:sp macro="" textlink="">
      <xdr:nvSpPr>
        <xdr:cNvPr id="6" name="TextBox 5">
          <a:extLst>
            <a:ext uri="{FF2B5EF4-FFF2-40B4-BE49-F238E27FC236}">
              <a16:creationId xmlns:a16="http://schemas.microsoft.com/office/drawing/2014/main" id="{C3029C22-06BE-8137-00FA-136933B051C0}"/>
            </a:ext>
          </a:extLst>
        </xdr:cNvPr>
        <xdr:cNvSpPr txBox="1"/>
      </xdr:nvSpPr>
      <xdr:spPr>
        <a:xfrm>
          <a:off x="14480517" y="1980821"/>
          <a:ext cx="1975053" cy="395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SUPERVISORS</a:t>
          </a:r>
        </a:p>
      </xdr:txBody>
    </xdr:sp>
    <xdr:clientData/>
  </xdr:twoCellAnchor>
  <xdr:twoCellAnchor>
    <xdr:from>
      <xdr:col>9</xdr:col>
      <xdr:colOff>1374307</xdr:colOff>
      <xdr:row>11</xdr:row>
      <xdr:rowOff>152211</xdr:rowOff>
    </xdr:from>
    <xdr:to>
      <xdr:col>9</xdr:col>
      <xdr:colOff>3374570</xdr:colOff>
      <xdr:row>13</xdr:row>
      <xdr:rowOff>36285</xdr:rowOff>
    </xdr:to>
    <xdr:sp macro="" textlink="">
      <xdr:nvSpPr>
        <xdr:cNvPr id="7" name="TextBox 6">
          <a:extLst>
            <a:ext uri="{FF2B5EF4-FFF2-40B4-BE49-F238E27FC236}">
              <a16:creationId xmlns:a16="http://schemas.microsoft.com/office/drawing/2014/main" id="{0E8EC870-2041-344F-8E17-6DEB7421F39E}"/>
            </a:ext>
          </a:extLst>
        </xdr:cNvPr>
        <xdr:cNvSpPr txBox="1"/>
      </xdr:nvSpPr>
      <xdr:spPr>
        <a:xfrm>
          <a:off x="14346450" y="2982497"/>
          <a:ext cx="2000263" cy="283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SCHOOL</a:t>
          </a:r>
          <a:r>
            <a:rPr lang="en-US" sz="1800" b="1" baseline="0"/>
            <a:t> HEADS</a:t>
          </a:r>
          <a:endParaRPr lang="en-US" sz="1800" b="1"/>
        </a:p>
      </xdr:txBody>
    </xdr:sp>
    <xdr:clientData/>
  </xdr:twoCellAnchor>
  <xdr:twoCellAnchor>
    <xdr:from>
      <xdr:col>10</xdr:col>
      <xdr:colOff>1591127</xdr:colOff>
      <xdr:row>16</xdr:row>
      <xdr:rowOff>52616</xdr:rowOff>
    </xdr:from>
    <xdr:to>
      <xdr:col>11</xdr:col>
      <xdr:colOff>235855</xdr:colOff>
      <xdr:row>17</xdr:row>
      <xdr:rowOff>145145</xdr:rowOff>
    </xdr:to>
    <xdr:sp macro="" textlink="">
      <xdr:nvSpPr>
        <xdr:cNvPr id="8" name="TextBox 7">
          <a:extLst>
            <a:ext uri="{FF2B5EF4-FFF2-40B4-BE49-F238E27FC236}">
              <a16:creationId xmlns:a16="http://schemas.microsoft.com/office/drawing/2014/main" id="{B7EFA6EA-E380-544B-BDE7-F5B5372E4F54}"/>
            </a:ext>
          </a:extLst>
        </xdr:cNvPr>
        <xdr:cNvSpPr txBox="1"/>
      </xdr:nvSpPr>
      <xdr:spPr>
        <a:xfrm>
          <a:off x="18137413" y="3880759"/>
          <a:ext cx="1819728"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TEACHERS</a:t>
          </a:r>
        </a:p>
      </xdr:txBody>
    </xdr:sp>
    <xdr:clientData/>
  </xdr:twoCellAnchor>
  <xdr:twoCellAnchor>
    <xdr:from>
      <xdr:col>10</xdr:col>
      <xdr:colOff>2051958</xdr:colOff>
      <xdr:row>20</xdr:row>
      <xdr:rowOff>90714</xdr:rowOff>
    </xdr:from>
    <xdr:to>
      <xdr:col>11</xdr:col>
      <xdr:colOff>2140858</xdr:colOff>
      <xdr:row>23</xdr:row>
      <xdr:rowOff>145142</xdr:rowOff>
    </xdr:to>
    <xdr:sp macro="" textlink="">
      <xdr:nvSpPr>
        <xdr:cNvPr id="9" name="TextBox 8">
          <a:extLst>
            <a:ext uri="{FF2B5EF4-FFF2-40B4-BE49-F238E27FC236}">
              <a16:creationId xmlns:a16="http://schemas.microsoft.com/office/drawing/2014/main" id="{60B80A10-7B94-4E4C-828C-FF11922F82D8}"/>
            </a:ext>
          </a:extLst>
        </xdr:cNvPr>
        <xdr:cNvSpPr txBox="1"/>
      </xdr:nvSpPr>
      <xdr:spPr>
        <a:xfrm>
          <a:off x="18598244" y="4735285"/>
          <a:ext cx="3263900" cy="67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TOTAL TEACHING AND TEACHING-RELATED </a:t>
          </a:r>
        </a:p>
      </xdr:txBody>
    </xdr:sp>
    <xdr:clientData/>
  </xdr:twoCellAnchor>
  <xdr:twoCellAnchor editAs="oneCell">
    <xdr:from>
      <xdr:col>10</xdr:col>
      <xdr:colOff>979714</xdr:colOff>
      <xdr:row>19</xdr:row>
      <xdr:rowOff>196695</xdr:rowOff>
    </xdr:from>
    <xdr:to>
      <xdr:col>10</xdr:col>
      <xdr:colOff>2013857</xdr:colOff>
      <xdr:row>24</xdr:row>
      <xdr:rowOff>26835</xdr:rowOff>
    </xdr:to>
    <xdr:pic>
      <xdr:nvPicPr>
        <xdr:cNvPr id="10" name="Picture 9" descr="Leadership Management Organization Woman Women's empowerment - business ...">
          <a:extLst>
            <a:ext uri="{FF2B5EF4-FFF2-40B4-BE49-F238E27FC236}">
              <a16:creationId xmlns:a16="http://schemas.microsoft.com/office/drawing/2014/main" id="{8CF61A39-7365-B463-EE50-7DBF0342398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526000" y="4623552"/>
          <a:ext cx="1034143" cy="864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101600</xdr:colOff>
      <xdr:row>1</xdr:row>
      <xdr:rowOff>115708</xdr:rowOff>
    </xdr:from>
    <xdr:to>
      <xdr:col>11</xdr:col>
      <xdr:colOff>3048000</xdr:colOff>
      <xdr:row>3</xdr:row>
      <xdr:rowOff>181429</xdr:rowOff>
    </xdr:to>
    <xdr:sp macro="" textlink="">
      <xdr:nvSpPr>
        <xdr:cNvPr id="13" name="TextBox 12">
          <a:extLst>
            <a:ext uri="{FF2B5EF4-FFF2-40B4-BE49-F238E27FC236}">
              <a16:creationId xmlns:a16="http://schemas.microsoft.com/office/drawing/2014/main" id="{2018A773-9582-2643-8C2D-6C70BC8CBA3B}"/>
            </a:ext>
          </a:extLst>
        </xdr:cNvPr>
        <xdr:cNvSpPr txBox="1"/>
      </xdr:nvSpPr>
      <xdr:spPr>
        <a:xfrm>
          <a:off x="13073743" y="950279"/>
          <a:ext cx="9695543" cy="464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ookman Old Style" panose="02050604050505020204" pitchFamily="18" charset="0"/>
            </a:rPr>
            <a:t>DISTRIBUTION</a:t>
          </a:r>
          <a:r>
            <a:rPr lang="en-US" sz="2400" b="1" baseline="0">
              <a:latin typeface="Bookman Old Style" panose="02050604050505020204" pitchFamily="18" charset="0"/>
            </a:rPr>
            <a:t> OF PARTICIPANTS TO BE TRAINED </a:t>
          </a:r>
          <a:endParaRPr lang="en-US" sz="2400" b="1">
            <a:latin typeface="Bookman Old Style" panose="02050604050505020204" pitchFamily="18" charset="0"/>
          </a:endParaRPr>
        </a:p>
      </xdr:txBody>
    </xdr:sp>
    <xdr:clientData/>
  </xdr:twoCellAnchor>
  <xdr:twoCellAnchor>
    <xdr:from>
      <xdr:col>6</xdr:col>
      <xdr:colOff>88900</xdr:colOff>
      <xdr:row>2</xdr:row>
      <xdr:rowOff>101600</xdr:rowOff>
    </xdr:from>
    <xdr:to>
      <xdr:col>7</xdr:col>
      <xdr:colOff>1320800</xdr:colOff>
      <xdr:row>16</xdr:row>
      <xdr:rowOff>114300</xdr:rowOff>
    </xdr:to>
    <xdr:graphicFrame macro="">
      <xdr:nvGraphicFramePr>
        <xdr:cNvPr id="18" name="Chart 17">
          <a:extLst>
            <a:ext uri="{FF2B5EF4-FFF2-40B4-BE49-F238E27FC236}">
              <a16:creationId xmlns:a16="http://schemas.microsoft.com/office/drawing/2014/main" id="{7DD22BF7-5DAB-CC44-9050-07BAA1123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50800</xdr:colOff>
      <xdr:row>15</xdr:row>
      <xdr:rowOff>177800</xdr:rowOff>
    </xdr:from>
    <xdr:to>
      <xdr:col>8</xdr:col>
      <xdr:colOff>63500</xdr:colOff>
      <xdr:row>20</xdr:row>
      <xdr:rowOff>25400</xdr:rowOff>
    </xdr:to>
    <xdr:sp macro="" textlink="">
      <xdr:nvSpPr>
        <xdr:cNvPr id="19" name="TextBox 18">
          <a:extLst>
            <a:ext uri="{FF2B5EF4-FFF2-40B4-BE49-F238E27FC236}">
              <a16:creationId xmlns:a16="http://schemas.microsoft.com/office/drawing/2014/main" id="{C638826F-8FB3-A14A-821E-E1171F4F659D}"/>
            </a:ext>
          </a:extLst>
        </xdr:cNvPr>
        <xdr:cNvSpPr txBox="1"/>
      </xdr:nvSpPr>
      <xdr:spPr>
        <a:xfrm>
          <a:off x="7137400" y="3848100"/>
          <a:ext cx="43688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baseline="0">
              <a:latin typeface="Bookman Old Style" panose="02050604050505020204" pitchFamily="18" charset="0"/>
            </a:rPr>
            <a:t>FREQUENCY OF PPAS in IDENTIFIED MONTHS</a:t>
          </a:r>
          <a:endParaRPr lang="en-US" sz="2400" b="1">
            <a:latin typeface="Bookman Old Style" panose="02050604050505020204" pitchFamily="18" charset="0"/>
          </a:endParaRPr>
        </a:p>
      </xdr:txBody>
    </xdr:sp>
    <xdr:clientData/>
  </xdr:twoCellAnchor>
  <xdr:twoCellAnchor>
    <xdr:from>
      <xdr:col>6</xdr:col>
      <xdr:colOff>444500</xdr:colOff>
      <xdr:row>4</xdr:row>
      <xdr:rowOff>12700</xdr:rowOff>
    </xdr:from>
    <xdr:to>
      <xdr:col>6</xdr:col>
      <xdr:colOff>1612900</xdr:colOff>
      <xdr:row>5</xdr:row>
      <xdr:rowOff>177800</xdr:rowOff>
    </xdr:to>
    <xdr:sp macro="" textlink="">
      <xdr:nvSpPr>
        <xdr:cNvPr id="20" name="TextBox 19">
          <a:extLst>
            <a:ext uri="{FF2B5EF4-FFF2-40B4-BE49-F238E27FC236}">
              <a16:creationId xmlns:a16="http://schemas.microsoft.com/office/drawing/2014/main" id="{4DB733D4-8754-6C46-888C-FF2EF8DAA459}"/>
            </a:ext>
          </a:extLst>
        </xdr:cNvPr>
        <xdr:cNvSpPr txBox="1"/>
      </xdr:nvSpPr>
      <xdr:spPr>
        <a:xfrm>
          <a:off x="7531100" y="1447800"/>
          <a:ext cx="1168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Bookman Old Style" panose="02050604050505020204" pitchFamily="18" charset="0"/>
            </a:rPr>
            <a:t>MAY</a:t>
          </a:r>
        </a:p>
      </xdr:txBody>
    </xdr:sp>
    <xdr:clientData/>
  </xdr:twoCellAnchor>
  <xdr:twoCellAnchor>
    <xdr:from>
      <xdr:col>6</xdr:col>
      <xdr:colOff>317500</xdr:colOff>
      <xdr:row>13</xdr:row>
      <xdr:rowOff>38100</xdr:rowOff>
    </xdr:from>
    <xdr:to>
      <xdr:col>6</xdr:col>
      <xdr:colOff>1485900</xdr:colOff>
      <xdr:row>15</xdr:row>
      <xdr:rowOff>0</xdr:rowOff>
    </xdr:to>
    <xdr:sp macro="" textlink="">
      <xdr:nvSpPr>
        <xdr:cNvPr id="21" name="TextBox 20">
          <a:extLst>
            <a:ext uri="{FF2B5EF4-FFF2-40B4-BE49-F238E27FC236}">
              <a16:creationId xmlns:a16="http://schemas.microsoft.com/office/drawing/2014/main" id="{FF8C38B4-3F19-DF4B-BEF8-7FEBC7B19651}"/>
            </a:ext>
          </a:extLst>
        </xdr:cNvPr>
        <xdr:cNvSpPr txBox="1"/>
      </xdr:nvSpPr>
      <xdr:spPr>
        <a:xfrm>
          <a:off x="7404100" y="3302000"/>
          <a:ext cx="1168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Bookman Old Style" panose="02050604050505020204" pitchFamily="18" charset="0"/>
            </a:rPr>
            <a:t>JUNE</a:t>
          </a:r>
        </a:p>
      </xdr:txBody>
    </xdr:sp>
    <xdr:clientData/>
  </xdr:twoCellAnchor>
  <xdr:twoCellAnchor>
    <xdr:from>
      <xdr:col>7</xdr:col>
      <xdr:colOff>134470</xdr:colOff>
      <xdr:row>13</xdr:row>
      <xdr:rowOff>70971</xdr:rowOff>
    </xdr:from>
    <xdr:to>
      <xdr:col>7</xdr:col>
      <xdr:colOff>1645770</xdr:colOff>
      <xdr:row>15</xdr:row>
      <xdr:rowOff>32870</xdr:rowOff>
    </xdr:to>
    <xdr:sp macro="" textlink="">
      <xdr:nvSpPr>
        <xdr:cNvPr id="22" name="TextBox 21">
          <a:extLst>
            <a:ext uri="{FF2B5EF4-FFF2-40B4-BE49-F238E27FC236}">
              <a16:creationId xmlns:a16="http://schemas.microsoft.com/office/drawing/2014/main" id="{0815864C-8C30-EE4D-BAD1-73E4CA051FBE}"/>
            </a:ext>
          </a:extLst>
        </xdr:cNvPr>
        <xdr:cNvSpPr txBox="1"/>
      </xdr:nvSpPr>
      <xdr:spPr>
        <a:xfrm>
          <a:off x="11205882" y="3836147"/>
          <a:ext cx="1511300" cy="380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Bookman Old Style" panose="02050604050505020204" pitchFamily="18" charset="0"/>
            </a:rPr>
            <a:t>SEPTEMBER</a:t>
          </a:r>
        </a:p>
      </xdr:txBody>
    </xdr:sp>
    <xdr:clientData/>
  </xdr:twoCellAnchor>
  <xdr:twoCellAnchor editAs="oneCell">
    <xdr:from>
      <xdr:col>9</xdr:col>
      <xdr:colOff>776514</xdr:colOff>
      <xdr:row>9</xdr:row>
      <xdr:rowOff>38745</xdr:rowOff>
    </xdr:from>
    <xdr:to>
      <xdr:col>9</xdr:col>
      <xdr:colOff>1415142</xdr:colOff>
      <xdr:row>13</xdr:row>
      <xdr:rowOff>44710</xdr:rowOff>
    </xdr:to>
    <xdr:pic>
      <xdr:nvPicPr>
        <xdr:cNvPr id="23" name="Picture 22" descr="Pix For &gt; Teacher Silhouette Vector - ClipArt Best - ClipArt Best">
          <a:extLst>
            <a:ext uri="{FF2B5EF4-FFF2-40B4-BE49-F238E27FC236}">
              <a16:creationId xmlns:a16="http://schemas.microsoft.com/office/drawing/2014/main" id="{2471EF12-A835-97B6-D2F6-58816C80E486}"/>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802" b="97598" l="10000" r="90000">
                      <a14:foregroundMark x1="61538" y1="85586" x2="70769" y2="68468"/>
                      <a14:foregroundMark x1="70769" y1="68468" x2="55385" y2="30030"/>
                      <a14:foregroundMark x1="55385" y1="30030" x2="53462" y2="13213"/>
                      <a14:foregroundMark x1="53462" y1="13213" x2="23077" y2="46847"/>
                      <a14:foregroundMark x1="23077" y1="46847" x2="20385" y2="64565"/>
                      <a14:foregroundMark x1="20385" y1="64565" x2="28077" y2="87087"/>
                      <a14:foregroundMark x1="28077" y1="87087" x2="53077" y2="90390"/>
                      <a14:foregroundMark x1="53077" y1="90390" x2="75000" y2="88288"/>
                      <a14:foregroundMark x1="75000" y1="88288" x2="82308" y2="69069"/>
                      <a14:foregroundMark x1="82308" y1="69069" x2="78462" y2="51051"/>
                      <a14:foregroundMark x1="78462" y1="51051" x2="64231" y2="47447"/>
                      <a14:foregroundMark x1="37308" y1="51952" x2="39231" y2="77778"/>
                      <a14:foregroundMark x1="39231" y1="77778" x2="68077" y2="84384"/>
                      <a14:foregroundMark x1="68077" y1="84384" x2="75000" y2="62763"/>
                      <a14:foregroundMark x1="75000" y1="62763" x2="58462" y2="45045"/>
                      <a14:foregroundMark x1="58462" y1="45045" x2="52692" y2="25826"/>
                      <a14:foregroundMark x1="52692" y1="25826" x2="58846" y2="9610"/>
                      <a14:foregroundMark x1="58846" y1="9610" x2="17692" y2="65766"/>
                      <a14:foregroundMark x1="17692" y1="65766" x2="22692" y2="85285"/>
                      <a14:foregroundMark x1="22692" y1="85285" x2="41538" y2="96096"/>
                      <a14:foregroundMark x1="41538" y1="96096" x2="64615" y2="97598"/>
                      <a14:foregroundMark x1="64615" y1="97598" x2="85385" y2="89790"/>
                      <a14:foregroundMark x1="85385" y1="89790" x2="80385" y2="54655"/>
                      <a14:foregroundMark x1="80385" y1="54655" x2="65769" y2="49850"/>
                      <a14:foregroundMark x1="25769" y1="74474" x2="25385" y2="53153"/>
                      <a14:foregroundMark x1="25385" y1="53153" x2="45000" y2="43844"/>
                      <a14:foregroundMark x1="45000" y1="43844" x2="59615" y2="62763"/>
                      <a14:foregroundMark x1="59615" y1="62763" x2="45769" y2="75375"/>
                      <a14:foregroundMark x1="45769" y1="75375" x2="15385" y2="74474"/>
                      <a14:foregroundMark x1="15385" y1="74474" x2="21923" y2="55556"/>
                      <a14:foregroundMark x1="21923" y1="55556" x2="42308" y2="51051"/>
                      <a14:foregroundMark x1="37308" y1="56456" x2="46538" y2="86787"/>
                      <a14:foregroundMark x1="46538" y1="86787" x2="77308" y2="84985"/>
                      <a14:foregroundMark x1="77308" y1="84985" x2="74231" y2="62763"/>
                      <a14:foregroundMark x1="74231" y1="62763" x2="49231" y2="55556"/>
                      <a14:foregroundMark x1="49231" y1="55556" x2="30385" y2="69069"/>
                      <a14:foregroundMark x1="30385" y1="69069" x2="46538" y2="81081"/>
                      <a14:foregroundMark x1="46538" y1="81081" x2="64615" y2="70871"/>
                      <a14:foregroundMark x1="64615" y1="70871" x2="71538" y2="50150"/>
                      <a14:foregroundMark x1="71538" y1="50150" x2="46923" y2="47748"/>
                      <a14:foregroundMark x1="46923" y1="47748" x2="40000" y2="73874"/>
                      <a14:foregroundMark x1="60769" y1="5706" x2="44231" y2="7207"/>
                      <a14:foregroundMark x1="51538" y1="3904" x2="55769" y2="1802"/>
                    </a14:backgroundRemoval>
                  </a14:imgEffect>
                </a14:imgLayer>
              </a14:imgProps>
            </a:ext>
            <a:ext uri="{28A0092B-C50C-407E-A947-70E740481C1C}">
              <a14:useLocalDpi xmlns:a14="http://schemas.microsoft.com/office/drawing/2010/main" val="0"/>
            </a:ext>
          </a:extLst>
        </a:blip>
        <a:srcRect/>
        <a:stretch>
          <a:fillRect/>
        </a:stretch>
      </xdr:blipFill>
      <xdr:spPr bwMode="auto">
        <a:xfrm flipH="1">
          <a:off x="13748657" y="2469888"/>
          <a:ext cx="638628" cy="804251"/>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235857</xdr:colOff>
      <xdr:row>2</xdr:row>
      <xdr:rowOff>56866</xdr:rowOff>
    </xdr:from>
    <xdr:to>
      <xdr:col>4</xdr:col>
      <xdr:colOff>1402686</xdr:colOff>
      <xdr:row>27</xdr:row>
      <xdr:rowOff>18955</xdr:rowOff>
    </xdr:to>
    <xdr:graphicFrame macro="">
      <xdr:nvGraphicFramePr>
        <xdr:cNvPr id="26" name="Chart 25">
          <a:extLst>
            <a:ext uri="{FF2B5EF4-FFF2-40B4-BE49-F238E27FC236}">
              <a16:creationId xmlns:a16="http://schemas.microsoft.com/office/drawing/2014/main" id="{C9354381-C34F-2446-836E-B514CC33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471631</xdr:colOff>
      <xdr:row>27</xdr:row>
      <xdr:rowOff>813</xdr:rowOff>
    </xdr:from>
    <xdr:to>
      <xdr:col>1</xdr:col>
      <xdr:colOff>785557</xdr:colOff>
      <xdr:row>27</xdr:row>
      <xdr:rowOff>1447800</xdr:rowOff>
    </xdr:to>
    <xdr:sp macro="" textlink="">
      <xdr:nvSpPr>
        <xdr:cNvPr id="27" name="TextBox 26">
          <a:extLst>
            <a:ext uri="{FF2B5EF4-FFF2-40B4-BE49-F238E27FC236}">
              <a16:creationId xmlns:a16="http://schemas.microsoft.com/office/drawing/2014/main" id="{833BC1B3-96C2-B646-B0E9-F1FA394B2E4D}"/>
            </a:ext>
          </a:extLst>
        </xdr:cNvPr>
        <xdr:cNvSpPr txBox="1"/>
      </xdr:nvSpPr>
      <xdr:spPr>
        <a:xfrm>
          <a:off x="471631" y="6223813"/>
          <a:ext cx="1660126" cy="1446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Bookman Old Style" panose="02050604050505020204" pitchFamily="18" charset="0"/>
            </a:rPr>
            <a:t>NO.</a:t>
          </a:r>
          <a:r>
            <a:rPr lang="en-US" sz="2000" b="1" baseline="0">
              <a:latin typeface="Bookman Old Style" panose="02050604050505020204" pitchFamily="18" charset="0"/>
            </a:rPr>
            <a:t> OF PPAS CODED IN WFP</a:t>
          </a:r>
          <a:endParaRPr lang="en-US" sz="2000" b="1">
            <a:latin typeface="Bookman Old Style" panose="02050604050505020204" pitchFamily="18" charset="0"/>
          </a:endParaRPr>
        </a:p>
      </xdr:txBody>
    </xdr:sp>
    <xdr:clientData/>
  </xdr:twoCellAnchor>
  <xdr:twoCellAnchor>
    <xdr:from>
      <xdr:col>1</xdr:col>
      <xdr:colOff>1089788</xdr:colOff>
      <xdr:row>27</xdr:row>
      <xdr:rowOff>18901</xdr:rowOff>
    </xdr:from>
    <xdr:to>
      <xdr:col>1</xdr:col>
      <xdr:colOff>2746285</xdr:colOff>
      <xdr:row>27</xdr:row>
      <xdr:rowOff>1422400</xdr:rowOff>
    </xdr:to>
    <xdr:sp macro="" textlink="">
      <xdr:nvSpPr>
        <xdr:cNvPr id="28" name="TextBox 27">
          <a:extLst>
            <a:ext uri="{FF2B5EF4-FFF2-40B4-BE49-F238E27FC236}">
              <a16:creationId xmlns:a16="http://schemas.microsoft.com/office/drawing/2014/main" id="{AE5EBA6C-0963-BC45-8840-00ACF3C8BBB0}"/>
            </a:ext>
          </a:extLst>
        </xdr:cNvPr>
        <xdr:cNvSpPr txBox="1"/>
      </xdr:nvSpPr>
      <xdr:spPr>
        <a:xfrm>
          <a:off x="2435988" y="6241901"/>
          <a:ext cx="1656497" cy="1403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Bookman Old Style" panose="02050604050505020204" pitchFamily="18" charset="0"/>
            </a:rPr>
            <a:t>NO.</a:t>
          </a:r>
          <a:r>
            <a:rPr lang="en-US" sz="2000" b="1" baseline="0">
              <a:latin typeface="Bookman Old Style" panose="02050604050505020204" pitchFamily="18" charset="0"/>
            </a:rPr>
            <a:t> OF QA PPAS (INITIAL)</a:t>
          </a:r>
          <a:endParaRPr lang="en-US" sz="2000" b="1">
            <a:latin typeface="Bookman Old Style" panose="02050604050505020204" pitchFamily="18" charset="0"/>
          </a:endParaRPr>
        </a:p>
      </xdr:txBody>
    </xdr:sp>
    <xdr:clientData/>
  </xdr:twoCellAnchor>
  <xdr:twoCellAnchor>
    <xdr:from>
      <xdr:col>1</xdr:col>
      <xdr:colOff>3022600</xdr:colOff>
      <xdr:row>26</xdr:row>
      <xdr:rowOff>181429</xdr:rowOff>
    </xdr:from>
    <xdr:to>
      <xdr:col>3</xdr:col>
      <xdr:colOff>139807</xdr:colOff>
      <xdr:row>28</xdr:row>
      <xdr:rowOff>50800</xdr:rowOff>
    </xdr:to>
    <xdr:sp macro="" textlink="">
      <xdr:nvSpPr>
        <xdr:cNvPr id="29" name="TextBox 28">
          <a:extLst>
            <a:ext uri="{FF2B5EF4-FFF2-40B4-BE49-F238E27FC236}">
              <a16:creationId xmlns:a16="http://schemas.microsoft.com/office/drawing/2014/main" id="{5116F05C-E0AC-8948-A7C6-58AA213C54F4}"/>
            </a:ext>
          </a:extLst>
        </xdr:cNvPr>
        <xdr:cNvSpPr txBox="1"/>
      </xdr:nvSpPr>
      <xdr:spPr>
        <a:xfrm>
          <a:off x="4368800" y="6201229"/>
          <a:ext cx="1740007" cy="1545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Bookman Old Style" panose="02050604050505020204" pitchFamily="18" charset="0"/>
            </a:rPr>
            <a:t>NO.</a:t>
          </a:r>
          <a:r>
            <a:rPr lang="en-US" sz="2000" b="1" baseline="0">
              <a:latin typeface="Bookman Old Style" panose="02050604050505020204" pitchFamily="18" charset="0"/>
            </a:rPr>
            <a:t> OF PPAS WITH BUDGET VARIANCE</a:t>
          </a:r>
          <a:endParaRPr lang="en-US" sz="2000" b="1">
            <a:latin typeface="Bookman Old Style" panose="02050604050505020204" pitchFamily="18" charset="0"/>
          </a:endParaRPr>
        </a:p>
      </xdr:txBody>
    </xdr:sp>
    <xdr:clientData/>
  </xdr:twoCellAnchor>
  <xdr:twoCellAnchor>
    <xdr:from>
      <xdr:col>3</xdr:col>
      <xdr:colOff>478700</xdr:colOff>
      <xdr:row>27</xdr:row>
      <xdr:rowOff>758</xdr:rowOff>
    </xdr:from>
    <xdr:to>
      <xdr:col>4</xdr:col>
      <xdr:colOff>1187436</xdr:colOff>
      <xdr:row>27</xdr:row>
      <xdr:rowOff>1081206</xdr:rowOff>
    </xdr:to>
    <xdr:sp macro="" textlink="">
      <xdr:nvSpPr>
        <xdr:cNvPr id="30" name="TextBox 29">
          <a:extLst>
            <a:ext uri="{FF2B5EF4-FFF2-40B4-BE49-F238E27FC236}">
              <a16:creationId xmlns:a16="http://schemas.microsoft.com/office/drawing/2014/main" id="{0DCBFC5B-1418-FF4D-A164-48E6C4CA79F1}"/>
            </a:ext>
          </a:extLst>
        </xdr:cNvPr>
        <xdr:cNvSpPr txBox="1"/>
      </xdr:nvSpPr>
      <xdr:spPr>
        <a:xfrm>
          <a:off x="6429557" y="6078615"/>
          <a:ext cx="1652165" cy="1080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Bookman Old Style" panose="02050604050505020204" pitchFamily="18" charset="0"/>
            </a:rPr>
            <a:t>NO.</a:t>
          </a:r>
          <a:r>
            <a:rPr lang="en-US" sz="2000" b="1" baseline="0">
              <a:latin typeface="Bookman Old Style" panose="02050604050505020204" pitchFamily="18" charset="0"/>
            </a:rPr>
            <a:t> OF QA PPAS (IFINAL)</a:t>
          </a:r>
          <a:endParaRPr lang="en-US" sz="2000" b="1">
            <a:latin typeface="Bookman Old Style" panose="02050604050505020204" pitchFamily="18" charset="0"/>
          </a:endParaRPr>
        </a:p>
      </xdr:txBody>
    </xdr:sp>
    <xdr:clientData/>
  </xdr:twoCellAnchor>
  <xdr:twoCellAnchor>
    <xdr:from>
      <xdr:col>9</xdr:col>
      <xdr:colOff>3519713</xdr:colOff>
      <xdr:row>26</xdr:row>
      <xdr:rowOff>153158</xdr:rowOff>
    </xdr:from>
    <xdr:to>
      <xdr:col>11</xdr:col>
      <xdr:colOff>2884713</xdr:colOff>
      <xdr:row>27</xdr:row>
      <xdr:rowOff>471715</xdr:rowOff>
    </xdr:to>
    <xdr:sp macro="" textlink="">
      <xdr:nvSpPr>
        <xdr:cNvPr id="2" name="TextBox 1">
          <a:extLst>
            <a:ext uri="{FF2B5EF4-FFF2-40B4-BE49-F238E27FC236}">
              <a16:creationId xmlns:a16="http://schemas.microsoft.com/office/drawing/2014/main" id="{249B4BB9-9C84-614B-B4C1-5F80A3F1D58D}"/>
            </a:ext>
          </a:extLst>
        </xdr:cNvPr>
        <xdr:cNvSpPr txBox="1"/>
      </xdr:nvSpPr>
      <xdr:spPr>
        <a:xfrm>
          <a:off x="16491856" y="6031444"/>
          <a:ext cx="6114143" cy="518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Bookman Old Style" panose="02050604050505020204" pitchFamily="18" charset="0"/>
            </a:rPr>
            <a:t>CID BUDGET ALLOCATION</a:t>
          </a:r>
        </a:p>
      </xdr:txBody>
    </xdr:sp>
    <xdr:clientData/>
  </xdr:twoCellAnchor>
  <xdr:twoCellAnchor editAs="oneCell">
    <xdr:from>
      <xdr:col>10</xdr:col>
      <xdr:colOff>653142</xdr:colOff>
      <xdr:row>12</xdr:row>
      <xdr:rowOff>125852</xdr:rowOff>
    </xdr:from>
    <xdr:to>
      <xdr:col>10</xdr:col>
      <xdr:colOff>1614714</xdr:colOff>
      <xdr:row>18</xdr:row>
      <xdr:rowOff>72571</xdr:rowOff>
    </xdr:to>
    <xdr:pic>
      <xdr:nvPicPr>
        <xdr:cNvPr id="5" name="Picture 4" descr="Teacher Portrait Icon Silhouette Illustration Back Stock Vector (Royalty Free) 2016812792 | Shutterstock">
          <a:extLst>
            <a:ext uri="{FF2B5EF4-FFF2-40B4-BE49-F238E27FC236}">
              <a16:creationId xmlns:a16="http://schemas.microsoft.com/office/drawing/2014/main" id="{A58FAE0C-E418-EB7C-183A-8A0137D79D05}"/>
            </a:ext>
          </a:extLst>
        </xdr:cNvPr>
        <xdr:cNvPicPr>
          <a:picLocks noChangeAspect="1" noChangeArrowheads="1"/>
        </xdr:cNvPicPr>
      </xdr:nvPicPr>
      <xdr:blipFill rotWithShape="1">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foregroundMark x1="44615" y1="35000" x2="58846" y2="31071"/>
                      <a14:foregroundMark x1="58846" y1="31071" x2="56154" y2="47857"/>
                      <a14:foregroundMark x1="56154" y1="47857" x2="62692" y2="61071"/>
                      <a14:foregroundMark x1="62692" y1="61071" x2="45769" y2="65714"/>
                      <a14:foregroundMark x1="45769" y1="65714" x2="35000" y2="55000"/>
                      <a14:foregroundMark x1="35000" y1="55000" x2="30769" y2="39286"/>
                      <a14:foregroundMark x1="46538" y1="35357" x2="61154" y2="36429"/>
                      <a14:foregroundMark x1="61154" y1="36429" x2="63846" y2="52857"/>
                      <a14:foregroundMark x1="63846" y1="52857" x2="55769" y2="66429"/>
                      <a14:foregroundMark x1="55769" y1="66429" x2="35769" y2="65714"/>
                      <a14:foregroundMark x1="35769" y1="65714" x2="30385" y2="49286"/>
                      <a14:foregroundMark x1="30385" y1="49286" x2="39615" y2="65714"/>
                      <a14:foregroundMark x1="58077" y1="50357" x2="55769" y2="36786"/>
                      <a14:foregroundMark x1="55769" y1="36786" x2="48846" y2="50357"/>
                      <a14:foregroundMark x1="48846" y1="50357" x2="48077" y2="64286"/>
                      <a14:foregroundMark x1="48077" y1="64286" x2="37308" y2="54286"/>
                      <a14:foregroundMark x1="37308" y1="54286" x2="29615" y2="41786"/>
                      <a14:foregroundMark x1="29615" y1="41786" x2="33077" y2="56071"/>
                      <a14:foregroundMark x1="33077" y1="56071" x2="48462" y2="66786"/>
                      <a14:foregroundMark x1="48462" y1="66786" x2="57692" y2="53214"/>
                      <a14:foregroundMark x1="57692" y1="53214" x2="57308" y2="40000"/>
                      <a14:foregroundMark x1="28077" y1="42857" x2="36923" y2="59643"/>
                    </a14:backgroundRemoval>
                  </a14:imgEffect>
                </a14:imgLayer>
              </a14:imgProps>
            </a:ext>
            <a:ext uri="{28A0092B-C50C-407E-A947-70E740481C1C}">
              <a14:useLocalDpi xmlns:a14="http://schemas.microsoft.com/office/drawing/2010/main" val="0"/>
            </a:ext>
          </a:extLst>
        </a:blip>
        <a:srcRect l="27472" t="22645" r="29121" b="28975"/>
        <a:stretch>
          <a:fillRect/>
        </a:stretch>
      </xdr:blipFill>
      <xdr:spPr bwMode="auto">
        <a:xfrm>
          <a:off x="17199428" y="3155709"/>
          <a:ext cx="961572" cy="1144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2200683</xdr:colOff>
      <xdr:row>24</xdr:row>
      <xdr:rowOff>127000</xdr:rowOff>
    </xdr:from>
    <xdr:to>
      <xdr:col>10</xdr:col>
      <xdr:colOff>96494</xdr:colOff>
      <xdr:row>27</xdr:row>
      <xdr:rowOff>1379461</xdr:rowOff>
    </xdr:to>
    <xdr:pic>
      <xdr:nvPicPr>
        <xdr:cNvPr id="11" name="Picture 10" descr="Money Bag Philippine Peso Color Icon SVG Vector &amp; PNG Free Download | UXWing">
          <a:extLst>
            <a:ext uri="{FF2B5EF4-FFF2-40B4-BE49-F238E27FC236}">
              <a16:creationId xmlns:a16="http://schemas.microsoft.com/office/drawing/2014/main" id="{14A082D6-51ED-AA64-C5D9-CAD15829A3F0}"/>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3810" b="97302" l="2675" r="97119">
                      <a14:foregroundMark x1="40123" y1="19048" x2="31687" y2="16190"/>
                      <a14:foregroundMark x1="31687" y1="16190" x2="46296" y2="6032"/>
                      <a14:foregroundMark x1="46296" y1="6032" x2="56996" y2="6349"/>
                      <a14:foregroundMark x1="56996" y1="6349" x2="61728" y2="12063"/>
                      <a14:foregroundMark x1="61728" y1="12063" x2="51440" y2="20159"/>
                      <a14:foregroundMark x1="51440" y1="20159" x2="59053" y2="24444"/>
                      <a14:foregroundMark x1="59053" y1="24444" x2="65844" y2="11905"/>
                      <a14:foregroundMark x1="65844" y1="11905" x2="64815" y2="10952"/>
                      <a14:foregroundMark x1="43004" y1="5714" x2="50000" y2="2698"/>
                      <a14:foregroundMark x1="50000" y1="2698" x2="59465" y2="3810"/>
                      <a14:foregroundMark x1="59465" y1="3810" x2="61523" y2="7937"/>
                      <a14:foregroundMark x1="48560" y1="34286" x2="24280" y2="51746"/>
                      <a14:foregroundMark x1="24280" y1="51746" x2="10082" y2="73651"/>
                      <a14:foregroundMark x1="10082" y1="73651" x2="18107" y2="81905"/>
                      <a14:foregroundMark x1="18107" y1="81905" x2="32305" y2="86349"/>
                      <a14:foregroundMark x1="32305" y1="86349" x2="44856" y2="86984"/>
                      <a14:foregroundMark x1="44856" y1="86984" x2="65226" y2="85556"/>
                      <a14:foregroundMark x1="65226" y1="85556" x2="71399" y2="81429"/>
                      <a14:foregroundMark x1="71399" y1="81429" x2="74897" y2="72222"/>
                      <a14:foregroundMark x1="74897" y1="72222" x2="69753" y2="54921"/>
                      <a14:foregroundMark x1="69753" y1="54921" x2="49177" y2="34444"/>
                      <a14:foregroundMark x1="49177" y1="34444" x2="45885" y2="33651"/>
                      <a14:foregroundMark x1="51440" y1="50317" x2="68519" y2="64921"/>
                      <a14:foregroundMark x1="68519" y1="64921" x2="73868" y2="73016"/>
                      <a14:foregroundMark x1="73868" y1="73016" x2="66255" y2="80000"/>
                      <a14:foregroundMark x1="66255" y1="80000" x2="46708" y2="77619"/>
                      <a14:foregroundMark x1="46708" y1="77619" x2="32099" y2="68730"/>
                      <a14:foregroundMark x1="32099" y1="68730" x2="31070" y2="56190"/>
                      <a14:foregroundMark x1="31070" y1="56190" x2="38477" y2="48095"/>
                      <a14:foregroundMark x1="38477" y1="48095" x2="50000" y2="46508"/>
                      <a14:foregroundMark x1="50000" y1="46508" x2="60700" y2="59206"/>
                      <a14:foregroundMark x1="60700" y1="59206" x2="60700" y2="70794"/>
                      <a14:foregroundMark x1="60700" y1="70794" x2="50823" y2="74921"/>
                      <a14:foregroundMark x1="50823" y1="74921" x2="39095" y2="75079"/>
                      <a14:foregroundMark x1="39095" y1="75079" x2="36420" y2="67619"/>
                      <a14:foregroundMark x1="36420" y1="67619" x2="45885" y2="56349"/>
                      <a14:foregroundMark x1="45885" y1="56349" x2="59465" y2="54286"/>
                      <a14:foregroundMark x1="59465" y1="54286" x2="68519" y2="72698"/>
                      <a14:foregroundMark x1="68519" y1="72698" x2="63374" y2="87778"/>
                      <a14:foregroundMark x1="63374" y1="87778" x2="59053" y2="90476"/>
                      <a14:foregroundMark x1="52881" y1="81905" x2="51646" y2="49048"/>
                      <a14:foregroundMark x1="51646" y1="49048" x2="47942" y2="62698"/>
                      <a14:foregroundMark x1="47942" y1="62698" x2="53909" y2="72540"/>
                      <a14:foregroundMark x1="53909" y1="72540" x2="68519" y2="67460"/>
                      <a14:foregroundMark x1="68519" y1="67460" x2="65638" y2="59206"/>
                      <a14:foregroundMark x1="65638" y1="59206" x2="44856" y2="58730"/>
                      <a14:foregroundMark x1="44856" y1="58730" x2="39300" y2="63492"/>
                      <a14:foregroundMark x1="39300" y1="63492" x2="50000" y2="62857"/>
                      <a14:foregroundMark x1="50000" y1="62857" x2="54938" y2="55714"/>
                      <a14:foregroundMark x1="54938" y1="55714" x2="45885" y2="55079"/>
                      <a14:foregroundMark x1="45885" y1="55079" x2="40329" y2="60317"/>
                      <a14:foregroundMark x1="40329" y1="60317" x2="51235" y2="65873"/>
                      <a14:foregroundMark x1="51235" y1="65873" x2="57407" y2="61587"/>
                      <a14:foregroundMark x1="57407" y1="61587" x2="48354" y2="58095"/>
                      <a14:foregroundMark x1="32716" y1="62698" x2="39918" y2="58889"/>
                      <a14:foregroundMark x1="39918" y1="58889" x2="54733" y2="65873"/>
                      <a14:foregroundMark x1="54733" y1="65873" x2="50412" y2="86667"/>
                      <a14:foregroundMark x1="50412" y1="86667" x2="33128" y2="96190"/>
                      <a14:foregroundMark x1="33128" y1="96190" x2="23663" y2="83175"/>
                      <a14:foregroundMark x1="23663" y1="83175" x2="31481" y2="65397"/>
                      <a14:foregroundMark x1="31481" y1="65397" x2="46502" y2="57460"/>
                      <a14:foregroundMark x1="46502" y1="57460" x2="52675" y2="59365"/>
                      <a14:foregroundMark x1="32922" y1="59524" x2="59053" y2="75397"/>
                      <a14:foregroundMark x1="2881" y1="88571" x2="2675" y2="71111"/>
                      <a14:foregroundMark x1="2675" y1="71111" x2="3292" y2="70952"/>
                      <a14:foregroundMark x1="33333" y1="91111" x2="54938" y2="93968"/>
                      <a14:foregroundMark x1="54938" y1="93968" x2="62346" y2="91746"/>
                      <a14:foregroundMark x1="62346" y1="91746" x2="71193" y2="84921"/>
                      <a14:foregroundMark x1="71193" y1="84921" x2="78395" y2="72698"/>
                      <a14:foregroundMark x1="78395" y1="72698" x2="75720" y2="53333"/>
                      <a14:foregroundMark x1="75720" y1="53333" x2="67901" y2="38254"/>
                      <a14:foregroundMark x1="67901" y1="38254" x2="60700" y2="33492"/>
                      <a14:foregroundMark x1="60700" y1="33492" x2="60082" y2="33492"/>
                      <a14:foregroundMark x1="71811" y1="45556" x2="87037" y2="58095"/>
                      <a14:foregroundMark x1="87037" y1="58095" x2="86831" y2="74444"/>
                      <a14:foregroundMark x1="86831" y1="74444" x2="83128" y2="80476"/>
                      <a14:foregroundMark x1="83128" y1="80476" x2="63786" y2="91270"/>
                      <a14:foregroundMark x1="63786" y1="91270" x2="41152" y2="97460"/>
                      <a14:foregroundMark x1="41152" y1="97460" x2="25514" y2="97302"/>
                      <a14:foregroundMark x1="90329" y1="90159" x2="94856" y2="69365"/>
                      <a14:foregroundMark x1="94856" y1="69365" x2="93621" y2="62063"/>
                      <a14:foregroundMark x1="93621" y1="62063" x2="82099" y2="54921"/>
                      <a14:foregroundMark x1="96296" y1="73810" x2="97119" y2="83175"/>
                      <a14:foregroundMark x1="97119" y1="83175" x2="91564" y2="88095"/>
                      <a14:foregroundMark x1="91564" y1="88095" x2="91564" y2="88095"/>
                    </a14:backgroundRemoval>
                  </a14:imgEffect>
                </a14:imgLayer>
              </a14:imgProps>
            </a:ext>
            <a:ext uri="{28A0092B-C50C-407E-A947-70E740481C1C}">
              <a14:useLocalDpi xmlns:a14="http://schemas.microsoft.com/office/drawing/2010/main" val="0"/>
            </a:ext>
          </a:extLst>
        </a:blip>
        <a:srcRect/>
        <a:stretch>
          <a:fillRect/>
        </a:stretch>
      </xdr:blipFill>
      <xdr:spPr bwMode="auto">
        <a:xfrm>
          <a:off x="15133516" y="5820833"/>
          <a:ext cx="1472978" cy="1887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1578128</xdr:colOff>
      <xdr:row>26</xdr:row>
      <xdr:rowOff>194733</xdr:rowOff>
    </xdr:from>
    <xdr:to>
      <xdr:col>9</xdr:col>
      <xdr:colOff>2604442</xdr:colOff>
      <xdr:row>27</xdr:row>
      <xdr:rowOff>1302052</xdr:rowOff>
    </xdr:to>
    <xdr:pic>
      <xdr:nvPicPr>
        <xdr:cNvPr id="12" name="Picture 11" descr="Money Bag Philippine Peso Color Icon SVG Vector &amp; PNG Free Download | UXWing">
          <a:extLst>
            <a:ext uri="{FF2B5EF4-FFF2-40B4-BE49-F238E27FC236}">
              <a16:creationId xmlns:a16="http://schemas.microsoft.com/office/drawing/2014/main" id="{F2100F89-34F4-6D4E-ADA2-AEA0E0EF83EC}"/>
            </a:ext>
          </a:extLst>
        </xdr:cNvPr>
        <xdr:cNvPicPr>
          <a:picLocks noChangeAspect="1" noChangeArrowheads="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3810" b="97302" l="2675" r="97119">
                      <a14:foregroundMark x1="40123" y1="19048" x2="31687" y2="16190"/>
                      <a14:foregroundMark x1="31687" y1="16190" x2="46296" y2="6032"/>
                      <a14:foregroundMark x1="46296" y1="6032" x2="56996" y2="6349"/>
                      <a14:foregroundMark x1="56996" y1="6349" x2="61728" y2="12063"/>
                      <a14:foregroundMark x1="61728" y1="12063" x2="51440" y2="20159"/>
                      <a14:foregroundMark x1="51440" y1="20159" x2="59053" y2="24444"/>
                      <a14:foregroundMark x1="59053" y1="24444" x2="65844" y2="11905"/>
                      <a14:foregroundMark x1="65844" y1="11905" x2="64815" y2="10952"/>
                      <a14:foregroundMark x1="43004" y1="5714" x2="50000" y2="2698"/>
                      <a14:foregroundMark x1="50000" y1="2698" x2="59465" y2="3810"/>
                      <a14:foregroundMark x1="59465" y1="3810" x2="61523" y2="7937"/>
                      <a14:foregroundMark x1="48560" y1="34286" x2="24280" y2="51746"/>
                      <a14:foregroundMark x1="24280" y1="51746" x2="10082" y2="73651"/>
                      <a14:foregroundMark x1="10082" y1="73651" x2="18107" y2="81905"/>
                      <a14:foregroundMark x1="18107" y1="81905" x2="32305" y2="86349"/>
                      <a14:foregroundMark x1="32305" y1="86349" x2="44856" y2="86984"/>
                      <a14:foregroundMark x1="44856" y1="86984" x2="65226" y2="85556"/>
                      <a14:foregroundMark x1="65226" y1="85556" x2="71399" y2="81429"/>
                      <a14:foregroundMark x1="71399" y1="81429" x2="74897" y2="72222"/>
                      <a14:foregroundMark x1="74897" y1="72222" x2="69753" y2="54921"/>
                      <a14:foregroundMark x1="69753" y1="54921" x2="49177" y2="34444"/>
                      <a14:foregroundMark x1="49177" y1="34444" x2="45885" y2="33651"/>
                      <a14:foregroundMark x1="51440" y1="50317" x2="68519" y2="64921"/>
                      <a14:foregroundMark x1="68519" y1="64921" x2="73868" y2="73016"/>
                      <a14:foregroundMark x1="73868" y1="73016" x2="66255" y2="80000"/>
                      <a14:foregroundMark x1="66255" y1="80000" x2="46708" y2="77619"/>
                      <a14:foregroundMark x1="46708" y1="77619" x2="32099" y2="68730"/>
                      <a14:foregroundMark x1="32099" y1="68730" x2="31070" y2="56190"/>
                      <a14:foregroundMark x1="31070" y1="56190" x2="38477" y2="48095"/>
                      <a14:foregroundMark x1="38477" y1="48095" x2="50000" y2="46508"/>
                      <a14:foregroundMark x1="50000" y1="46508" x2="60700" y2="59206"/>
                      <a14:foregroundMark x1="60700" y1="59206" x2="60700" y2="70794"/>
                      <a14:foregroundMark x1="60700" y1="70794" x2="50823" y2="74921"/>
                      <a14:foregroundMark x1="50823" y1="74921" x2="39095" y2="75079"/>
                      <a14:foregroundMark x1="39095" y1="75079" x2="36420" y2="67619"/>
                      <a14:foregroundMark x1="36420" y1="67619" x2="45885" y2="56349"/>
                      <a14:foregroundMark x1="45885" y1="56349" x2="59465" y2="54286"/>
                      <a14:foregroundMark x1="59465" y1="54286" x2="68519" y2="72698"/>
                      <a14:foregroundMark x1="68519" y1="72698" x2="63374" y2="87778"/>
                      <a14:foregroundMark x1="63374" y1="87778" x2="59053" y2="90476"/>
                      <a14:foregroundMark x1="52881" y1="81905" x2="51646" y2="49048"/>
                      <a14:foregroundMark x1="51646" y1="49048" x2="47942" y2="62698"/>
                      <a14:foregroundMark x1="47942" y1="62698" x2="53909" y2="72540"/>
                      <a14:foregroundMark x1="53909" y1="72540" x2="68519" y2="67460"/>
                      <a14:foregroundMark x1="68519" y1="67460" x2="65638" y2="59206"/>
                      <a14:foregroundMark x1="65638" y1="59206" x2="44856" y2="58730"/>
                      <a14:foregroundMark x1="44856" y1="58730" x2="39300" y2="63492"/>
                      <a14:foregroundMark x1="39300" y1="63492" x2="50000" y2="62857"/>
                      <a14:foregroundMark x1="50000" y1="62857" x2="54938" y2="55714"/>
                      <a14:foregroundMark x1="54938" y1="55714" x2="45885" y2="55079"/>
                      <a14:foregroundMark x1="45885" y1="55079" x2="40329" y2="60317"/>
                      <a14:foregroundMark x1="40329" y1="60317" x2="51235" y2="65873"/>
                      <a14:foregroundMark x1="51235" y1="65873" x2="57407" y2="61587"/>
                      <a14:foregroundMark x1="57407" y1="61587" x2="48354" y2="58095"/>
                      <a14:foregroundMark x1="32716" y1="62698" x2="39918" y2="58889"/>
                      <a14:foregroundMark x1="39918" y1="58889" x2="54733" y2="65873"/>
                      <a14:foregroundMark x1="54733" y1="65873" x2="50412" y2="86667"/>
                      <a14:foregroundMark x1="50412" y1="86667" x2="33128" y2="96190"/>
                      <a14:foregroundMark x1="33128" y1="96190" x2="23663" y2="83175"/>
                      <a14:foregroundMark x1="23663" y1="83175" x2="31481" y2="65397"/>
                      <a14:foregroundMark x1="31481" y1="65397" x2="46502" y2="57460"/>
                      <a14:foregroundMark x1="46502" y1="57460" x2="52675" y2="59365"/>
                      <a14:foregroundMark x1="32922" y1="59524" x2="59053" y2="75397"/>
                      <a14:foregroundMark x1="2881" y1="88571" x2="2675" y2="71111"/>
                      <a14:foregroundMark x1="2675" y1="71111" x2="3292" y2="70952"/>
                      <a14:foregroundMark x1="33333" y1="91111" x2="54938" y2="93968"/>
                      <a14:foregroundMark x1="54938" y1="93968" x2="62346" y2="91746"/>
                      <a14:foregroundMark x1="62346" y1="91746" x2="71193" y2="84921"/>
                      <a14:foregroundMark x1="71193" y1="84921" x2="78395" y2="72698"/>
                      <a14:foregroundMark x1="78395" y1="72698" x2="75720" y2="53333"/>
                      <a14:foregroundMark x1="75720" y1="53333" x2="67901" y2="38254"/>
                      <a14:foregroundMark x1="67901" y1="38254" x2="60700" y2="33492"/>
                      <a14:foregroundMark x1="60700" y1="33492" x2="60082" y2="33492"/>
                      <a14:foregroundMark x1="71811" y1="45556" x2="87037" y2="58095"/>
                      <a14:foregroundMark x1="87037" y1="58095" x2="86831" y2="74444"/>
                      <a14:foregroundMark x1="86831" y1="74444" x2="83128" y2="80476"/>
                      <a14:foregroundMark x1="83128" y1="80476" x2="63786" y2="91270"/>
                      <a14:foregroundMark x1="63786" y1="91270" x2="41152" y2="97460"/>
                      <a14:foregroundMark x1="41152" y1="97460" x2="25514" y2="97302"/>
                      <a14:foregroundMark x1="90329" y1="90159" x2="94856" y2="69365"/>
                      <a14:foregroundMark x1="94856" y1="69365" x2="93621" y2="62063"/>
                      <a14:foregroundMark x1="93621" y1="62063" x2="82099" y2="54921"/>
                      <a14:foregroundMark x1="96296" y1="73810" x2="97119" y2="83175"/>
                      <a14:foregroundMark x1="97119" y1="83175" x2="91564" y2="88095"/>
                      <a14:foregroundMark x1="91564" y1="88095" x2="91564" y2="88095"/>
                    </a14:backgroundRemoval>
                  </a14:imgEffect>
                </a14:imgLayer>
              </a14:imgProps>
            </a:ext>
            <a:ext uri="{28A0092B-C50C-407E-A947-70E740481C1C}">
              <a14:useLocalDpi xmlns:a14="http://schemas.microsoft.com/office/drawing/2010/main" val="0"/>
            </a:ext>
          </a:extLst>
        </a:blip>
        <a:srcRect/>
        <a:stretch>
          <a:fillRect/>
        </a:stretch>
      </xdr:blipFill>
      <xdr:spPr bwMode="auto">
        <a:xfrm>
          <a:off x="14510961" y="6311900"/>
          <a:ext cx="1026314" cy="1318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73479</xdr:colOff>
      <xdr:row>22</xdr:row>
      <xdr:rowOff>76676</xdr:rowOff>
    </xdr:from>
    <xdr:to>
      <xdr:col>9</xdr:col>
      <xdr:colOff>1926166</xdr:colOff>
      <xdr:row>27</xdr:row>
      <xdr:rowOff>1421189</xdr:rowOff>
    </xdr:to>
    <xdr:pic>
      <xdr:nvPicPr>
        <xdr:cNvPr id="14" name="Picture 13" descr="Money Bag Philippine Peso Color Icon SVG Vector &amp; PNG Free Download | UXWing">
          <a:extLst>
            <a:ext uri="{FF2B5EF4-FFF2-40B4-BE49-F238E27FC236}">
              <a16:creationId xmlns:a16="http://schemas.microsoft.com/office/drawing/2014/main" id="{DB131DAC-0408-AE4C-9D29-0F4F7D50A4D5}"/>
            </a:ext>
          </a:extLst>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3810" b="97302" l="2675" r="97119">
                      <a14:foregroundMark x1="40123" y1="19048" x2="31687" y2="16190"/>
                      <a14:foregroundMark x1="31687" y1="16190" x2="46296" y2="6032"/>
                      <a14:foregroundMark x1="46296" y1="6032" x2="56996" y2="6349"/>
                      <a14:foregroundMark x1="56996" y1="6349" x2="61728" y2="12063"/>
                      <a14:foregroundMark x1="61728" y1="12063" x2="51440" y2="20159"/>
                      <a14:foregroundMark x1="51440" y1="20159" x2="59053" y2="24444"/>
                      <a14:foregroundMark x1="59053" y1="24444" x2="65844" y2="11905"/>
                      <a14:foregroundMark x1="65844" y1="11905" x2="64815" y2="10952"/>
                      <a14:foregroundMark x1="43004" y1="5714" x2="50000" y2="2698"/>
                      <a14:foregroundMark x1="50000" y1="2698" x2="59465" y2="3810"/>
                      <a14:foregroundMark x1="59465" y1="3810" x2="61523" y2="7937"/>
                      <a14:foregroundMark x1="48560" y1="34286" x2="24280" y2="51746"/>
                      <a14:foregroundMark x1="24280" y1="51746" x2="10082" y2="73651"/>
                      <a14:foregroundMark x1="10082" y1="73651" x2="18107" y2="81905"/>
                      <a14:foregroundMark x1="18107" y1="81905" x2="32305" y2="86349"/>
                      <a14:foregroundMark x1="32305" y1="86349" x2="44856" y2="86984"/>
                      <a14:foregroundMark x1="44856" y1="86984" x2="65226" y2="85556"/>
                      <a14:foregroundMark x1="65226" y1="85556" x2="71399" y2="81429"/>
                      <a14:foregroundMark x1="71399" y1="81429" x2="74897" y2="72222"/>
                      <a14:foregroundMark x1="74897" y1="72222" x2="69753" y2="54921"/>
                      <a14:foregroundMark x1="69753" y1="54921" x2="49177" y2="34444"/>
                      <a14:foregroundMark x1="49177" y1="34444" x2="45885" y2="33651"/>
                      <a14:foregroundMark x1="51440" y1="50317" x2="68519" y2="64921"/>
                      <a14:foregroundMark x1="68519" y1="64921" x2="73868" y2="73016"/>
                      <a14:foregroundMark x1="73868" y1="73016" x2="66255" y2="80000"/>
                      <a14:foregroundMark x1="66255" y1="80000" x2="46708" y2="77619"/>
                      <a14:foregroundMark x1="46708" y1="77619" x2="32099" y2="68730"/>
                      <a14:foregroundMark x1="32099" y1="68730" x2="31070" y2="56190"/>
                      <a14:foregroundMark x1="31070" y1="56190" x2="38477" y2="48095"/>
                      <a14:foregroundMark x1="38477" y1="48095" x2="50000" y2="46508"/>
                      <a14:foregroundMark x1="50000" y1="46508" x2="60700" y2="59206"/>
                      <a14:foregroundMark x1="60700" y1="59206" x2="60700" y2="70794"/>
                      <a14:foregroundMark x1="60700" y1="70794" x2="50823" y2="74921"/>
                      <a14:foregroundMark x1="50823" y1="74921" x2="39095" y2="75079"/>
                      <a14:foregroundMark x1="39095" y1="75079" x2="36420" y2="67619"/>
                      <a14:foregroundMark x1="36420" y1="67619" x2="45885" y2="56349"/>
                      <a14:foregroundMark x1="45885" y1="56349" x2="59465" y2="54286"/>
                      <a14:foregroundMark x1="59465" y1="54286" x2="68519" y2="72698"/>
                      <a14:foregroundMark x1="68519" y1="72698" x2="63374" y2="87778"/>
                      <a14:foregroundMark x1="63374" y1="87778" x2="59053" y2="90476"/>
                      <a14:foregroundMark x1="52881" y1="81905" x2="51646" y2="49048"/>
                      <a14:foregroundMark x1="51646" y1="49048" x2="47942" y2="62698"/>
                      <a14:foregroundMark x1="47942" y1="62698" x2="53909" y2="72540"/>
                      <a14:foregroundMark x1="53909" y1="72540" x2="68519" y2="67460"/>
                      <a14:foregroundMark x1="68519" y1="67460" x2="65638" y2="59206"/>
                      <a14:foregroundMark x1="65638" y1="59206" x2="44856" y2="58730"/>
                      <a14:foregroundMark x1="44856" y1="58730" x2="39300" y2="63492"/>
                      <a14:foregroundMark x1="39300" y1="63492" x2="50000" y2="62857"/>
                      <a14:foregroundMark x1="50000" y1="62857" x2="54938" y2="55714"/>
                      <a14:foregroundMark x1="54938" y1="55714" x2="45885" y2="55079"/>
                      <a14:foregroundMark x1="45885" y1="55079" x2="40329" y2="60317"/>
                      <a14:foregroundMark x1="40329" y1="60317" x2="51235" y2="65873"/>
                      <a14:foregroundMark x1="51235" y1="65873" x2="57407" y2="61587"/>
                      <a14:foregroundMark x1="57407" y1="61587" x2="48354" y2="58095"/>
                      <a14:foregroundMark x1="32716" y1="62698" x2="39918" y2="58889"/>
                      <a14:foregroundMark x1="39918" y1="58889" x2="54733" y2="65873"/>
                      <a14:foregroundMark x1="54733" y1="65873" x2="50412" y2="86667"/>
                      <a14:foregroundMark x1="50412" y1="86667" x2="33128" y2="96190"/>
                      <a14:foregroundMark x1="33128" y1="96190" x2="23663" y2="83175"/>
                      <a14:foregroundMark x1="23663" y1="83175" x2="31481" y2="65397"/>
                      <a14:foregroundMark x1="31481" y1="65397" x2="46502" y2="57460"/>
                      <a14:foregroundMark x1="46502" y1="57460" x2="52675" y2="59365"/>
                      <a14:foregroundMark x1="32922" y1="59524" x2="59053" y2="75397"/>
                      <a14:foregroundMark x1="2881" y1="88571" x2="2675" y2="71111"/>
                      <a14:foregroundMark x1="2675" y1="71111" x2="3292" y2="70952"/>
                      <a14:foregroundMark x1="33333" y1="91111" x2="54938" y2="93968"/>
                      <a14:foregroundMark x1="54938" y1="93968" x2="62346" y2="91746"/>
                      <a14:foregroundMark x1="62346" y1="91746" x2="71193" y2="84921"/>
                      <a14:foregroundMark x1="71193" y1="84921" x2="78395" y2="72698"/>
                      <a14:foregroundMark x1="78395" y1="72698" x2="75720" y2="53333"/>
                      <a14:foregroundMark x1="75720" y1="53333" x2="67901" y2="38254"/>
                      <a14:foregroundMark x1="67901" y1="38254" x2="60700" y2="33492"/>
                      <a14:foregroundMark x1="60700" y1="33492" x2="60082" y2="33492"/>
                      <a14:foregroundMark x1="71811" y1="45556" x2="87037" y2="58095"/>
                      <a14:foregroundMark x1="87037" y1="58095" x2="86831" y2="74444"/>
                      <a14:foregroundMark x1="86831" y1="74444" x2="83128" y2="80476"/>
                      <a14:foregroundMark x1="83128" y1="80476" x2="63786" y2="91270"/>
                      <a14:foregroundMark x1="63786" y1="91270" x2="41152" y2="97460"/>
                      <a14:foregroundMark x1="41152" y1="97460" x2="25514" y2="97302"/>
                      <a14:foregroundMark x1="90329" y1="90159" x2="94856" y2="69365"/>
                      <a14:foregroundMark x1="94856" y1="69365" x2="93621" y2="62063"/>
                      <a14:foregroundMark x1="93621" y1="62063" x2="82099" y2="54921"/>
                      <a14:foregroundMark x1="96296" y1="73810" x2="97119" y2="83175"/>
                      <a14:foregroundMark x1="97119" y1="83175" x2="91564" y2="88095"/>
                      <a14:foregroundMark x1="91564" y1="88095" x2="91564" y2="88095"/>
                    </a14:backgroundRemoval>
                  </a14:imgEffect>
                </a14:imgLayer>
              </a14:imgProps>
            </a:ext>
            <a:ext uri="{28A0092B-C50C-407E-A947-70E740481C1C}">
              <a14:useLocalDpi xmlns:a14="http://schemas.microsoft.com/office/drawing/2010/main" val="0"/>
            </a:ext>
          </a:extLst>
        </a:blip>
        <a:srcRect/>
        <a:stretch>
          <a:fillRect/>
        </a:stretch>
      </xdr:blipFill>
      <xdr:spPr bwMode="auto">
        <a:xfrm>
          <a:off x="13006312" y="5347176"/>
          <a:ext cx="1852687" cy="2402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235858</xdr:colOff>
      <xdr:row>29</xdr:row>
      <xdr:rowOff>50393</xdr:rowOff>
    </xdr:from>
    <xdr:to>
      <xdr:col>13</xdr:col>
      <xdr:colOff>3610429</xdr:colOff>
      <xdr:row>31</xdr:row>
      <xdr:rowOff>163286</xdr:rowOff>
    </xdr:to>
    <xdr:sp macro="" textlink="">
      <xdr:nvSpPr>
        <xdr:cNvPr id="15" name="TextBox 14">
          <a:extLst>
            <a:ext uri="{FF2B5EF4-FFF2-40B4-BE49-F238E27FC236}">
              <a16:creationId xmlns:a16="http://schemas.microsoft.com/office/drawing/2014/main" id="{8CD974D7-6CC2-9F4A-B36A-BC9526DCA032}"/>
            </a:ext>
          </a:extLst>
        </xdr:cNvPr>
        <xdr:cNvSpPr txBox="1"/>
      </xdr:nvSpPr>
      <xdr:spPr>
        <a:xfrm>
          <a:off x="23368001" y="7833679"/>
          <a:ext cx="3374571" cy="874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ookman Old Style" panose="02050604050505020204" pitchFamily="18" charset="0"/>
            </a:rPr>
            <a:t>BUDGET UTILIZATION RATE</a:t>
          </a:r>
        </a:p>
      </xdr:txBody>
    </xdr:sp>
    <xdr:clientData/>
  </xdr:twoCellAnchor>
  <xdr:twoCellAnchor>
    <xdr:from>
      <xdr:col>13</xdr:col>
      <xdr:colOff>235857</xdr:colOff>
      <xdr:row>36</xdr:row>
      <xdr:rowOff>181022</xdr:rowOff>
    </xdr:from>
    <xdr:to>
      <xdr:col>13</xdr:col>
      <xdr:colOff>3610428</xdr:colOff>
      <xdr:row>39</xdr:row>
      <xdr:rowOff>377372</xdr:rowOff>
    </xdr:to>
    <xdr:sp macro="" textlink="">
      <xdr:nvSpPr>
        <xdr:cNvPr id="16" name="TextBox 15">
          <a:extLst>
            <a:ext uri="{FF2B5EF4-FFF2-40B4-BE49-F238E27FC236}">
              <a16:creationId xmlns:a16="http://schemas.microsoft.com/office/drawing/2014/main" id="{73613F35-2391-F44C-BFF5-650A293BEA70}"/>
            </a:ext>
          </a:extLst>
        </xdr:cNvPr>
        <xdr:cNvSpPr txBox="1"/>
      </xdr:nvSpPr>
      <xdr:spPr>
        <a:xfrm>
          <a:off x="23426057" y="10798222"/>
          <a:ext cx="3374571" cy="133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ookman Old Style" panose="02050604050505020204" pitchFamily="18" charset="0"/>
            </a:rPr>
            <a:t>PHYSICAL</a:t>
          </a:r>
          <a:r>
            <a:rPr lang="en-US" sz="2400" b="1" baseline="0">
              <a:latin typeface="Bookman Old Style" panose="02050604050505020204" pitchFamily="18" charset="0"/>
            </a:rPr>
            <a:t> ACCOMPLISHMENT RATE</a:t>
          </a:r>
          <a:endParaRPr lang="en-US" sz="2400" b="1">
            <a:latin typeface="Bookman Old Style" panose="02050604050505020204" pitchFamily="18" charset="0"/>
          </a:endParaRPr>
        </a:p>
      </xdr:txBody>
    </xdr:sp>
    <xdr:clientData/>
  </xdr:twoCellAnchor>
  <xdr:twoCellAnchor>
    <xdr:from>
      <xdr:col>11</xdr:col>
      <xdr:colOff>3156857</xdr:colOff>
      <xdr:row>27</xdr:row>
      <xdr:rowOff>852715</xdr:rowOff>
    </xdr:from>
    <xdr:to>
      <xdr:col>13</xdr:col>
      <xdr:colOff>3682999</xdr:colOff>
      <xdr:row>27</xdr:row>
      <xdr:rowOff>1370843</xdr:rowOff>
    </xdr:to>
    <xdr:sp macro="" textlink="">
      <xdr:nvSpPr>
        <xdr:cNvPr id="25" name="TextBox 24">
          <a:extLst>
            <a:ext uri="{FF2B5EF4-FFF2-40B4-BE49-F238E27FC236}">
              <a16:creationId xmlns:a16="http://schemas.microsoft.com/office/drawing/2014/main" id="{17576C83-4FBD-0546-B1BC-8B2A5BEB4495}"/>
            </a:ext>
          </a:extLst>
        </xdr:cNvPr>
        <xdr:cNvSpPr txBox="1"/>
      </xdr:nvSpPr>
      <xdr:spPr>
        <a:xfrm>
          <a:off x="22878143" y="6948715"/>
          <a:ext cx="3936999" cy="518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ookman Old Style" panose="02050604050505020204" pitchFamily="18" charset="0"/>
            </a:rPr>
            <a:t>100% (14 of 14</a:t>
          </a:r>
          <a:r>
            <a:rPr lang="en-US" sz="1800" b="1" baseline="0">
              <a:latin typeface="Bookman Old Style" panose="02050604050505020204" pitchFamily="18" charset="0"/>
            </a:rPr>
            <a:t>)</a:t>
          </a:r>
          <a:r>
            <a:rPr lang="en-US" sz="1800" b="1">
              <a:latin typeface="Bookman Old Style" panose="02050604050505020204" pitchFamily="18" charset="0"/>
            </a:rPr>
            <a:t> of PPAs</a:t>
          </a:r>
        </a:p>
      </xdr:txBody>
    </xdr:sp>
    <xdr:clientData/>
  </xdr:twoCellAnchor>
  <xdr:twoCellAnchor editAs="oneCell">
    <xdr:from>
      <xdr:col>13</xdr:col>
      <xdr:colOff>81781</xdr:colOff>
      <xdr:row>4</xdr:row>
      <xdr:rowOff>128307</xdr:rowOff>
    </xdr:from>
    <xdr:to>
      <xdr:col>15</xdr:col>
      <xdr:colOff>159519</xdr:colOff>
      <xdr:row>18</xdr:row>
      <xdr:rowOff>189198</xdr:rowOff>
    </xdr:to>
    <xdr:pic>
      <xdr:nvPicPr>
        <xdr:cNvPr id="34" name="Picture 33" descr="Attention please announcement sign with megaphone, flat vector illustration important alert icon. 14435755 Vector Art at Vecteezy">
          <a:extLst>
            <a:ext uri="{FF2B5EF4-FFF2-40B4-BE49-F238E27FC236}">
              <a16:creationId xmlns:a16="http://schemas.microsoft.com/office/drawing/2014/main" id="{F9BC8353-8F9F-128C-32B6-7AFF6FE9B1A7}"/>
            </a:ext>
          </a:extLst>
        </xdr:cNvPr>
        <xdr:cNvPicPr>
          <a:picLocks noChangeAspect="1" noChangeArrowheads="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backgroundRemoval t="9946" b="99096" l="0" r="92948">
                      <a14:foregroundMark x1="19530" y1="35262" x2="66365" y2="25316"/>
                      <a14:foregroundMark x1="66365" y1="25316" x2="76311" y2="32007"/>
                      <a14:foregroundMark x1="76311" y1="32007" x2="82459" y2="39421"/>
                      <a14:foregroundMark x1="82459" y1="39421" x2="67993" y2="44123"/>
                      <a14:foregroundMark x1="67993" y1="44123" x2="28571" y2="46835"/>
                      <a14:foregroundMark x1="28571" y1="46835" x2="21338" y2="50452"/>
                      <a14:foregroundMark x1="21338" y1="50452" x2="25316" y2="68354"/>
                      <a14:foregroundMark x1="25316" y1="68354" x2="19168" y2="77034"/>
                      <a14:foregroundMark x1="19168" y1="77034" x2="9584" y2="75045"/>
                      <a14:foregroundMark x1="9584" y1="75045" x2="9584" y2="66365"/>
                      <a14:foregroundMark x1="9584" y1="66365" x2="25316" y2="50090"/>
                      <a14:foregroundMark x1="25316" y1="50090" x2="41230" y2="44665"/>
                      <a14:foregroundMark x1="41230" y1="44665" x2="48463" y2="48282"/>
                      <a14:foregroundMark x1="48463" y1="48282" x2="51537" y2="57324"/>
                      <a14:foregroundMark x1="51537" y1="57324" x2="45389" y2="60940"/>
                      <a14:foregroundMark x1="45389" y1="60940" x2="30561" y2="64195"/>
                      <a14:foregroundMark x1="30561" y1="64195" x2="18083" y2="77034"/>
                      <a14:foregroundMark x1="18083" y1="77034" x2="12297" y2="77034"/>
                      <a14:foregroundMark x1="20253" y1="42676" x2="26401" y2="35262"/>
                      <a14:foregroundMark x1="26401" y1="35262" x2="52080" y2="27667"/>
                      <a14:foregroundMark x1="52080" y1="27667" x2="81736" y2="35624"/>
                      <a14:foregroundMark x1="81736" y1="35624" x2="73056" y2="44304"/>
                      <a14:foregroundMark x1="73056" y1="44304" x2="19168" y2="33996"/>
                      <a14:foregroundMark x1="13020" y1="50090" x2="17541" y2="37975"/>
                      <a14:foregroundMark x1="17541" y1="37975" x2="39421" y2="26944"/>
                      <a14:foregroundMark x1="39421" y1="26944" x2="62025" y2="25678"/>
                      <a14:foregroundMark x1="62025" y1="25678" x2="74322" y2="30561"/>
                      <a14:foregroundMark x1="74322" y1="30561" x2="68716" y2="44665"/>
                      <a14:foregroundMark x1="68716" y1="44665" x2="53526" y2="52080"/>
                      <a14:foregroundMark x1="53526" y1="52080" x2="36347" y2="50452"/>
                      <a14:foregroundMark x1="36347" y1="50452" x2="22604" y2="43580"/>
                      <a14:foregroundMark x1="22604" y1="43580" x2="18626" y2="37794"/>
                      <a14:foregroundMark x1="18626" y1="37794" x2="18807" y2="35986"/>
                      <a14:foregroundMark x1="17360" y1="36347" x2="63653" y2="38517"/>
                      <a14:foregroundMark x1="75588" y1="41772" x2="65099" y2="32007"/>
                      <a14:foregroundMark x1="65099" y1="32007" x2="35986" y2="30561"/>
                      <a14:foregroundMark x1="35986" y1="30561" x2="30741" y2="38698"/>
                      <a14:foregroundMark x1="30741" y1="38698" x2="46112" y2="46474"/>
                      <a14:foregroundMark x1="46112" y1="46474" x2="77215" y2="41772"/>
                      <a14:foregroundMark x1="77215" y1="41772" x2="90054" y2="31826"/>
                      <a14:foregroundMark x1="90054" y1="31826" x2="89331" y2="22242"/>
                      <a14:foregroundMark x1="89331" y1="22242" x2="74684" y2="18445"/>
                      <a14:foregroundMark x1="74684" y1="18445" x2="54792" y2="23870"/>
                      <a14:foregroundMark x1="54792" y1="23870" x2="43219" y2="35805"/>
                      <a14:foregroundMark x1="43219" y1="35805" x2="41772" y2="44665"/>
                      <a14:foregroundMark x1="41772" y1="44665" x2="49005" y2="49910"/>
                      <a14:foregroundMark x1="49005" y1="49910" x2="61483" y2="48644"/>
                      <a14:foregroundMark x1="61483" y1="48644" x2="65642" y2="41410"/>
                      <a14:foregroundMark x1="65642" y1="41410" x2="54250" y2="33092"/>
                      <a14:foregroundMark x1="54250" y1="33092" x2="32911" y2="34539"/>
                      <a14:foregroundMark x1="32911" y1="34539" x2="20434" y2="47197"/>
                      <a14:foregroundMark x1="20434" y1="47197" x2="22242" y2="58228"/>
                      <a14:foregroundMark x1="22242" y1="58228" x2="31103" y2="60036"/>
                      <a14:foregroundMark x1="31103" y1="60036" x2="20253" y2="66908"/>
                      <a14:foregroundMark x1="20253" y1="66908" x2="28210" y2="67269"/>
                      <a14:foregroundMark x1="28210" y1="67269" x2="47740" y2="49729"/>
                      <a14:foregroundMark x1="47740" y1="49729" x2="52622" y2="35624"/>
                      <a14:foregroundMark x1="52622" y1="35624" x2="46112" y2="31465"/>
                      <a14:foregroundMark x1="46112" y1="31465" x2="39241" y2="31646"/>
                      <a14:foregroundMark x1="39241" y1="31646" x2="36890" y2="32911"/>
                      <a14:foregroundMark x1="23508" y1="78119" x2="29837" y2="53345"/>
                      <a14:foregroundMark x1="29837" y1="53345" x2="39421" y2="38517"/>
                      <a14:foregroundMark x1="39421" y1="38517" x2="42315" y2="45027"/>
                      <a14:foregroundMark x1="42315" y1="45027" x2="37613" y2="53707"/>
                      <a14:foregroundMark x1="37613" y1="53707" x2="26944" y2="59132"/>
                      <a14:foregroundMark x1="26944" y1="59132" x2="18083" y2="48644"/>
                      <a14:foregroundMark x1="18083" y1="48644" x2="19349" y2="36709"/>
                      <a14:foregroundMark x1="19349" y1="36709" x2="38336" y2="41772"/>
                      <a14:foregroundMark x1="38336" y1="41772" x2="45931" y2="51899"/>
                      <a14:foregroundMark x1="87161" y1="44846" x2="79747" y2="42315"/>
                      <a14:foregroundMark x1="79747" y1="42315" x2="42857" y2="44485"/>
                      <a14:foregroundMark x1="42857" y1="44485" x2="74141" y2="40868"/>
                      <a14:foregroundMark x1="74141" y1="40868" x2="81013" y2="35262"/>
                      <a14:foregroundMark x1="81013" y1="35262" x2="92948" y2="32911"/>
                      <a14:foregroundMark x1="92948" y1="32911" x2="90958" y2="44304"/>
                      <a14:foregroundMark x1="90958" y1="44304" x2="85172" y2="48825"/>
                      <a14:foregroundMark x1="85172" y1="48825" x2="75588" y2="48825"/>
                      <a14:foregroundMark x1="75588" y1="48825" x2="69439" y2="45389"/>
                      <a14:foregroundMark x1="69439" y1="45389" x2="70163" y2="35805"/>
                      <a14:foregroundMark x1="70163" y1="35805" x2="77034" y2="20976"/>
                      <a14:foregroundMark x1="77034" y1="20976" x2="89512" y2="22785"/>
                      <a14:foregroundMark x1="89512" y1="22785" x2="92948" y2="30380"/>
                      <a14:foregroundMark x1="92948" y1="30380" x2="92948" y2="48101"/>
                      <a14:foregroundMark x1="9765" y1="62568" x2="181" y2="80832"/>
                      <a14:foregroundMark x1="181" y1="80832" x2="2170" y2="91139"/>
                      <a14:foregroundMark x1="2170" y1="91139" x2="12658" y2="90235"/>
                      <a14:foregroundMark x1="12658" y1="90235" x2="22423" y2="80470"/>
                      <a14:foregroundMark x1="22423" y1="80470" x2="19168" y2="68354"/>
                      <a14:foregroundMark x1="19168" y1="68354" x2="5063" y2="56058"/>
                      <a14:foregroundMark x1="5063" y1="56058" x2="0" y2="53707"/>
                      <a14:foregroundMark x1="5063" y1="64738" x2="23146" y2="94937"/>
                      <a14:foregroundMark x1="23146" y1="94937" x2="29476" y2="99096"/>
                      <a14:foregroundMark x1="29476" y1="99096" x2="18807" y2="80832"/>
                      <a14:foregroundMark x1="18807" y1="80832" x2="0" y2="70705"/>
                    </a14:backgroundRemoval>
                  </a14:imgEffect>
                </a14:imgLayer>
              </a14:imgProps>
            </a:ext>
            <a:ext uri="{28A0092B-C50C-407E-A947-70E740481C1C}">
              <a14:useLocalDpi xmlns:a14="http://schemas.microsoft.com/office/drawing/2010/main" val="0"/>
            </a:ext>
          </a:extLst>
        </a:blip>
        <a:srcRect l="8318" t="27562" r="10307" b="17668"/>
        <a:stretch>
          <a:fillRect/>
        </a:stretch>
      </xdr:blipFill>
      <xdr:spPr bwMode="auto">
        <a:xfrm rot="19875508">
          <a:off x="23271981" y="1576107"/>
          <a:ext cx="4217938" cy="2905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3073400</xdr:colOff>
      <xdr:row>1</xdr:row>
      <xdr:rowOff>127000</xdr:rowOff>
    </xdr:from>
    <xdr:to>
      <xdr:col>16</xdr:col>
      <xdr:colOff>2946400</xdr:colOff>
      <xdr:row>25</xdr:row>
      <xdr:rowOff>76200</xdr:rowOff>
    </xdr:to>
    <xdr:sp macro="" textlink="">
      <xdr:nvSpPr>
        <xdr:cNvPr id="35" name="TextBox 34">
          <a:extLst>
            <a:ext uri="{FF2B5EF4-FFF2-40B4-BE49-F238E27FC236}">
              <a16:creationId xmlns:a16="http://schemas.microsoft.com/office/drawing/2014/main" id="{A0248B5F-032E-2C42-B28C-C02C429CE6CD}"/>
            </a:ext>
          </a:extLst>
        </xdr:cNvPr>
        <xdr:cNvSpPr txBox="1"/>
      </xdr:nvSpPr>
      <xdr:spPr>
        <a:xfrm>
          <a:off x="26263600" y="1397000"/>
          <a:ext cx="7620000" cy="490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	Dear</a:t>
          </a:r>
          <a:r>
            <a:rPr lang="en-US" sz="2400" b="1" baseline="0"/>
            <a:t> Proponents, </a:t>
          </a:r>
        </a:p>
        <a:p>
          <a:pPr algn="l"/>
          <a:r>
            <a:rPr lang="en-US" sz="2400" b="1" baseline="0"/>
            <a:t>	</a:t>
          </a:r>
        </a:p>
        <a:p>
          <a:pPr algn="l"/>
          <a:r>
            <a:rPr lang="en-US" sz="2400" b="1" baseline="0"/>
            <a:t>	Please make necessary revisions/refinements in 	your submitted activity proposals. </a:t>
          </a:r>
        </a:p>
        <a:p>
          <a:pPr algn="l"/>
          <a:r>
            <a:rPr lang="en-US" sz="2400" b="1" baseline="0"/>
            <a:t>	</a:t>
          </a:r>
        </a:p>
        <a:p>
          <a:pPr algn="l"/>
          <a:r>
            <a:rPr lang="en-US" sz="2400" b="1" baseline="0"/>
            <a:t>	Please look on TAB 1 of this file for the 	recommendations of the CID Chief.</a:t>
          </a:r>
        </a:p>
        <a:p>
          <a:pPr algn="l"/>
          <a:r>
            <a:rPr lang="en-US" sz="2400" b="1" baseline="0"/>
            <a:t>	</a:t>
          </a:r>
        </a:p>
        <a:p>
          <a:pPr algn="l"/>
          <a:r>
            <a:rPr lang="en-US" sz="2400" b="1" baseline="0"/>
            <a:t>	Also, you may opt to check on TAB 2  to see if there 	are data that needs to be rectified.</a:t>
          </a:r>
        </a:p>
        <a:p>
          <a:pPr algn="l"/>
          <a:endParaRPr lang="en-US" sz="2400" b="1" baseline="0"/>
        </a:p>
        <a:p>
          <a:pPr algn="l"/>
          <a:r>
            <a:rPr lang="en-US" sz="2400" b="1" baseline="0"/>
            <a:t>	Thank you!</a:t>
          </a:r>
          <a:endParaRPr lang="en-US" sz="2400" b="1"/>
        </a:p>
      </xdr:txBody>
    </xdr:sp>
    <xdr:clientData/>
  </xdr:twoCellAnchor>
  <xdr:twoCellAnchor>
    <xdr:from>
      <xdr:col>15</xdr:col>
      <xdr:colOff>508000</xdr:colOff>
      <xdr:row>27</xdr:row>
      <xdr:rowOff>213679</xdr:rowOff>
    </xdr:from>
    <xdr:to>
      <xdr:col>16</xdr:col>
      <xdr:colOff>2819399</xdr:colOff>
      <xdr:row>27</xdr:row>
      <xdr:rowOff>1113972</xdr:rowOff>
    </xdr:to>
    <xdr:sp macro="" textlink="">
      <xdr:nvSpPr>
        <xdr:cNvPr id="36" name="TextBox 35">
          <a:extLst>
            <a:ext uri="{FF2B5EF4-FFF2-40B4-BE49-F238E27FC236}">
              <a16:creationId xmlns:a16="http://schemas.microsoft.com/office/drawing/2014/main" id="{DAC517E6-DCB5-E64C-9155-26F65BB2FB2B}"/>
            </a:ext>
          </a:extLst>
        </xdr:cNvPr>
        <xdr:cNvSpPr txBox="1"/>
      </xdr:nvSpPr>
      <xdr:spPr>
        <a:xfrm>
          <a:off x="27838400" y="6436679"/>
          <a:ext cx="5918199" cy="90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latin typeface="Bookman Old Style" panose="02050604050505020204" pitchFamily="18" charset="0"/>
            </a:rPr>
            <a:t>FACILITY COMING SOON</a:t>
          </a:r>
        </a:p>
      </xdr:txBody>
    </xdr:sp>
    <xdr:clientData/>
  </xdr:twoCellAnchor>
  <xdr:twoCellAnchor>
    <xdr:from>
      <xdr:col>15</xdr:col>
      <xdr:colOff>482600</xdr:colOff>
      <xdr:row>31</xdr:row>
      <xdr:rowOff>86679</xdr:rowOff>
    </xdr:from>
    <xdr:to>
      <xdr:col>16</xdr:col>
      <xdr:colOff>2793999</xdr:colOff>
      <xdr:row>33</xdr:row>
      <xdr:rowOff>224972</xdr:rowOff>
    </xdr:to>
    <xdr:sp macro="" textlink="">
      <xdr:nvSpPr>
        <xdr:cNvPr id="37" name="TextBox 36">
          <a:extLst>
            <a:ext uri="{FF2B5EF4-FFF2-40B4-BE49-F238E27FC236}">
              <a16:creationId xmlns:a16="http://schemas.microsoft.com/office/drawing/2014/main" id="{A02B352A-2DC6-5B4D-9F1D-FD11F0DE4F64}"/>
            </a:ext>
          </a:extLst>
        </xdr:cNvPr>
        <xdr:cNvSpPr txBox="1"/>
      </xdr:nvSpPr>
      <xdr:spPr>
        <a:xfrm>
          <a:off x="27813000" y="8798879"/>
          <a:ext cx="5918199" cy="90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latin typeface="Bookman Old Style" panose="02050604050505020204" pitchFamily="18" charset="0"/>
            </a:rPr>
            <a:t>FACILITY COMING SOON</a:t>
          </a:r>
        </a:p>
      </xdr:txBody>
    </xdr:sp>
    <xdr:clientData/>
  </xdr:twoCellAnchor>
  <xdr:twoCellAnchor>
    <xdr:from>
      <xdr:col>15</xdr:col>
      <xdr:colOff>482600</xdr:colOff>
      <xdr:row>38</xdr:row>
      <xdr:rowOff>264479</xdr:rowOff>
    </xdr:from>
    <xdr:to>
      <xdr:col>16</xdr:col>
      <xdr:colOff>2793999</xdr:colOff>
      <xdr:row>41</xdr:row>
      <xdr:rowOff>9072</xdr:rowOff>
    </xdr:to>
    <xdr:sp macro="" textlink="">
      <xdr:nvSpPr>
        <xdr:cNvPr id="38" name="TextBox 37">
          <a:extLst>
            <a:ext uri="{FF2B5EF4-FFF2-40B4-BE49-F238E27FC236}">
              <a16:creationId xmlns:a16="http://schemas.microsoft.com/office/drawing/2014/main" id="{43C6C367-CBA6-444C-9840-55A5DB2D7C6B}"/>
            </a:ext>
          </a:extLst>
        </xdr:cNvPr>
        <xdr:cNvSpPr txBox="1"/>
      </xdr:nvSpPr>
      <xdr:spPr>
        <a:xfrm>
          <a:off x="27813000" y="11643679"/>
          <a:ext cx="5918199" cy="887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latin typeface="Bookman Old Style" panose="02050604050505020204" pitchFamily="18" charset="0"/>
            </a:rPr>
            <a:t>FACILITY COMING SOON</a:t>
          </a:r>
        </a:p>
      </xdr:txBody>
    </xdr:sp>
    <xdr:clientData/>
  </xdr:twoCellAnchor>
  <xdr:twoCellAnchor editAs="oneCell">
    <xdr:from>
      <xdr:col>0</xdr:col>
      <xdr:colOff>203200</xdr:colOff>
      <xdr:row>45</xdr:row>
      <xdr:rowOff>76200</xdr:rowOff>
    </xdr:from>
    <xdr:to>
      <xdr:col>1</xdr:col>
      <xdr:colOff>76200</xdr:colOff>
      <xdr:row>50</xdr:row>
      <xdr:rowOff>101600</xdr:rowOff>
    </xdr:to>
    <xdr:pic>
      <xdr:nvPicPr>
        <xdr:cNvPr id="40" name="Picture 39">
          <a:extLst>
            <a:ext uri="{FF2B5EF4-FFF2-40B4-BE49-F238E27FC236}">
              <a16:creationId xmlns:a16="http://schemas.microsoft.com/office/drawing/2014/main" id="{AC6CE76A-9C2A-1652-4E4F-E5591B3DE9B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03200" y="14427200"/>
          <a:ext cx="1219200" cy="1219200"/>
        </a:xfrm>
        <a:prstGeom prst="rect">
          <a:avLst/>
        </a:prstGeom>
      </xdr:spPr>
    </xdr:pic>
    <xdr:clientData/>
  </xdr:twoCellAnchor>
  <xdr:twoCellAnchor>
    <xdr:from>
      <xdr:col>1</xdr:col>
      <xdr:colOff>152400</xdr:colOff>
      <xdr:row>45</xdr:row>
      <xdr:rowOff>76200</xdr:rowOff>
    </xdr:from>
    <xdr:to>
      <xdr:col>4</xdr:col>
      <xdr:colOff>279400</xdr:colOff>
      <xdr:row>46</xdr:row>
      <xdr:rowOff>101600</xdr:rowOff>
    </xdr:to>
    <xdr:sp macro="" textlink="">
      <xdr:nvSpPr>
        <xdr:cNvPr id="41" name="TextBox 40">
          <a:extLst>
            <a:ext uri="{FF2B5EF4-FFF2-40B4-BE49-F238E27FC236}">
              <a16:creationId xmlns:a16="http://schemas.microsoft.com/office/drawing/2014/main" id="{B7C07151-48B4-FB4B-8FC5-60A300B66C59}"/>
            </a:ext>
          </a:extLst>
        </xdr:cNvPr>
        <xdr:cNvSpPr txBox="1"/>
      </xdr:nvSpPr>
      <xdr:spPr>
        <a:xfrm>
          <a:off x="1498600" y="14427200"/>
          <a:ext cx="56896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a:latin typeface="Bookman Old Style" panose="02050604050505020204" pitchFamily="18" charset="0"/>
            </a:rPr>
            <a:t>MULA SA MUNTING</a:t>
          </a:r>
          <a:r>
            <a:rPr lang="en-US" sz="2000" b="0" baseline="0">
              <a:latin typeface="Bookman Old Style" panose="02050604050505020204" pitchFamily="18" charset="0"/>
            </a:rPr>
            <a:t> KALIKOT NI:</a:t>
          </a:r>
        </a:p>
        <a:p>
          <a:pPr algn="l"/>
          <a:endParaRPr lang="en-US" sz="2000" b="0">
            <a:latin typeface="Bookman Old Style" panose="02050604050505020204" pitchFamily="18" charset="0"/>
          </a:endParaRPr>
        </a:p>
      </xdr:txBody>
    </xdr:sp>
    <xdr:clientData/>
  </xdr:twoCellAnchor>
  <xdr:twoCellAnchor>
    <xdr:from>
      <xdr:col>1</xdr:col>
      <xdr:colOff>127000</xdr:colOff>
      <xdr:row>46</xdr:row>
      <xdr:rowOff>76200</xdr:rowOff>
    </xdr:from>
    <xdr:to>
      <xdr:col>4</xdr:col>
      <xdr:colOff>254000</xdr:colOff>
      <xdr:row>48</xdr:row>
      <xdr:rowOff>76200</xdr:rowOff>
    </xdr:to>
    <xdr:sp macro="" textlink="">
      <xdr:nvSpPr>
        <xdr:cNvPr id="42" name="TextBox 41">
          <a:extLst>
            <a:ext uri="{FF2B5EF4-FFF2-40B4-BE49-F238E27FC236}">
              <a16:creationId xmlns:a16="http://schemas.microsoft.com/office/drawing/2014/main" id="{128D38F7-637B-354A-9BA5-22D2A7F8F4CB}"/>
            </a:ext>
          </a:extLst>
        </xdr:cNvPr>
        <xdr:cNvSpPr txBox="1"/>
      </xdr:nvSpPr>
      <xdr:spPr>
        <a:xfrm>
          <a:off x="1473200" y="14808200"/>
          <a:ext cx="56896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latin typeface="Bookman Old Style" panose="02050604050505020204" pitchFamily="18" charset="0"/>
            </a:rPr>
            <a:t>DR.</a:t>
          </a:r>
          <a:r>
            <a:rPr lang="en-US" sz="2000" b="1" baseline="0">
              <a:latin typeface="Bookman Old Style" panose="02050604050505020204" pitchFamily="18" charset="0"/>
            </a:rPr>
            <a:t> MELVIN WILLY II B. ROQUE</a:t>
          </a:r>
          <a:endParaRPr lang="en-US" sz="2000" b="1">
            <a:latin typeface="Bookman Old Style" panose="02050604050505020204" pitchFamily="18" charset="0"/>
          </a:endParaRPr>
        </a:p>
      </xdr:txBody>
    </xdr:sp>
    <xdr:clientData/>
  </xdr:twoCellAnchor>
  <xdr:twoCellAnchor>
    <xdr:from>
      <xdr:col>1</xdr:col>
      <xdr:colOff>127000</xdr:colOff>
      <xdr:row>48</xdr:row>
      <xdr:rowOff>25400</xdr:rowOff>
    </xdr:from>
    <xdr:to>
      <xdr:col>4</xdr:col>
      <xdr:colOff>254000</xdr:colOff>
      <xdr:row>50</xdr:row>
      <xdr:rowOff>25400</xdr:rowOff>
    </xdr:to>
    <xdr:sp macro="" textlink="">
      <xdr:nvSpPr>
        <xdr:cNvPr id="43" name="TextBox 42">
          <a:extLst>
            <a:ext uri="{FF2B5EF4-FFF2-40B4-BE49-F238E27FC236}">
              <a16:creationId xmlns:a16="http://schemas.microsoft.com/office/drawing/2014/main" id="{49BCBC04-DEA2-A149-B4B3-64E2134D62B5}"/>
            </a:ext>
          </a:extLst>
        </xdr:cNvPr>
        <xdr:cNvSpPr txBox="1"/>
      </xdr:nvSpPr>
      <xdr:spPr>
        <a:xfrm>
          <a:off x="1473200" y="15163800"/>
          <a:ext cx="56896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a:latin typeface="Bookman Old Style" panose="02050604050505020204" pitchFamily="18" charset="0"/>
            </a:rPr>
            <a:t>INATASANG TAUHAN NG HEPE NG CID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VIN WILLY II B. ROQUE" refreshedDate="46311.76672673611" createdVersion="8" refreshedVersion="8" minRefreshableVersion="3" recordCount="11" xr:uid="{7DF1652E-2349-2C47-B699-A7D98CB9394E}">
  <cacheSource type="worksheet">
    <worksheetSource name="Table1"/>
  </cacheSource>
  <cacheFields count="2">
    <cacheField name="ACTIVITY DEMOGRAPHICS" numFmtId="0">
      <sharedItems count="14">
        <s v="NO. OF ACTIVITIES IN WFP"/>
        <s v="NO. OF QA ACTIVITY PROPOSALS  (INITIAL)"/>
        <s v="NO. OF ACTIVITY PROPOSALS WITH BUDGET VARIANCE (WFP vs Proposal)"/>
        <s v="NO. OF ACTIVITIES SCHEDULED IN MAY"/>
        <s v="NO. OF ACTIVITIES SCHEDULED IN JUNE"/>
        <s v="NO. OF ACTIVITIES SCHEDULED IN SEPTEMBER"/>
        <s v="TOTAL TEACHERS TARGETTED TO BE TRAINED"/>
        <s v="TOTAL SCHOOL HEADS TARGETTED TO BE TRAINED"/>
        <s v="TOTAL SUPERVISORS TARGETTED TO BE TRAINED"/>
        <s v="TOTAL TEACHING AND RELATED TEACHER TO BE TRAINED"/>
        <s v="NO. OF QA ACTIVITY PROPOSALS  (FINAL)"/>
        <s v="NO. OF SUBMITTED ACTIVITY PROPOSALS FOR INITIAL QA" u="1"/>
        <s v="NO. OF ACTIVITY PROPOSAL SUBMITTED FOR FINAL QA" u="1"/>
        <s v="NO. OF ACTIVITY PROPOSALS WITH VARIANCE (WFP vs Proposal)" u="1"/>
      </sharedItems>
    </cacheField>
    <cacheField name="TOTAL" numFmtId="0">
      <sharedItems containsSemiMixedTypes="0" containsString="0" containsNumber="1" containsInteger="1" minValue="0" maxValue="88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14"/>
  </r>
  <r>
    <x v="1"/>
    <n v="9"/>
  </r>
  <r>
    <x v="2"/>
    <n v="1"/>
  </r>
  <r>
    <x v="3"/>
    <n v="7"/>
  </r>
  <r>
    <x v="4"/>
    <n v="3"/>
  </r>
  <r>
    <x v="5"/>
    <n v="3"/>
  </r>
  <r>
    <x v="6"/>
    <n v="840"/>
  </r>
  <r>
    <x v="7"/>
    <n v="28"/>
  </r>
  <r>
    <x v="8"/>
    <n v="12"/>
  </r>
  <r>
    <x v="9"/>
    <n v="880"/>
  </r>
  <r>
    <x v="1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1CD36-1053-8B42-A167-EFA266E80424}"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MOGRAPHICS">
  <location ref="A15:B20" firstHeaderRow="1" firstDataRow="1" firstDataCol="1"/>
  <pivotFields count="2">
    <pivotField axis="axisRow" showAll="0" sortType="descending">
      <items count="15">
        <item h="1" x="9"/>
        <item h="1" x="6"/>
        <item h="1" x="8"/>
        <item h="1" x="7"/>
        <item m="1" x="11"/>
        <item h="1" m="1" x="13"/>
        <item m="1" x="12"/>
        <item h="1" x="5"/>
        <item h="1" x="3"/>
        <item h="1" x="4"/>
        <item x="0"/>
        <item x="2"/>
        <item x="1"/>
        <item x="1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10"/>
    </i>
    <i>
      <x v="12"/>
    </i>
    <i>
      <x v="11"/>
    </i>
    <i>
      <x v="13"/>
    </i>
    <i t="grand">
      <x/>
    </i>
  </rowItems>
  <colItems count="1">
    <i/>
  </colItems>
  <dataFields count="1">
    <dataField name="Sum of TOTAL" fld="1" baseField="0" baseItem="0"/>
  </dataFields>
  <formats count="12">
    <format dxfId="42">
      <pivotArea type="all" dataOnly="0" outline="0" fieldPosition="0"/>
    </format>
    <format dxfId="43">
      <pivotArea outline="0" collapsedLevelsAreSubtotals="1" fieldPosition="0"/>
    </format>
    <format dxfId="44">
      <pivotArea field="0" type="button" dataOnly="0" labelOnly="1" outline="0" axis="axisRow" fieldPosition="0"/>
    </format>
    <format dxfId="45">
      <pivotArea dataOnly="0" labelOnly="1" fieldPosition="0">
        <references count="1">
          <reference field="0" count="0"/>
        </references>
      </pivotArea>
    </format>
    <format dxfId="46">
      <pivotArea dataOnly="0" labelOnly="1" grandRow="1" outline="0"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field="0" type="button" dataOnly="0" labelOnly="1" outline="0" axis="axisRow" fieldPosition="0"/>
    </format>
    <format dxfId="51">
      <pivotArea dataOnly="0" labelOnly="1" fieldPosition="0">
        <references count="1">
          <reference field="0" count="0"/>
        </references>
      </pivotArea>
    </format>
    <format dxfId="52">
      <pivotArea dataOnly="0" labelOnly="1" grandRow="1" outline="0" fieldPosition="0"/>
    </format>
    <format dxfId="53">
      <pivotArea dataOnly="0" labelOnly="1" outline="0" axis="axisValues" fieldPosition="0"/>
    </format>
  </formats>
  <chartFormats count="13">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0" count="1" selected="0">
            <x v="1"/>
          </reference>
        </references>
      </pivotArea>
    </chartFormat>
    <chartFormat chart="0" format="24">
      <pivotArea type="data" outline="0" fieldPosition="0">
        <references count="2">
          <reference field="4294967294" count="1" selected="0">
            <x v="0"/>
          </reference>
          <reference field="0" count="1" selected="0">
            <x v="0"/>
          </reference>
        </references>
      </pivotArea>
    </chartFormat>
    <chartFormat chart="0" format="25">
      <pivotArea type="data" outline="0" fieldPosition="0">
        <references count="2">
          <reference field="4294967294" count="1" selected="0">
            <x v="0"/>
          </reference>
          <reference field="0" count="1" selected="0">
            <x v="3"/>
          </reference>
        </references>
      </pivotArea>
    </chartFormat>
    <chartFormat chart="0" format="26">
      <pivotArea type="data" outline="0" fieldPosition="0">
        <references count="2">
          <reference field="4294967294" count="1" selected="0">
            <x v="0"/>
          </reference>
          <reference field="0" count="1" selected="0">
            <x v="2"/>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0"/>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11"/>
          </reference>
        </references>
      </pivotArea>
    </chartFormat>
    <chartFormat chart="3" format="6">
      <pivotArea type="data" outline="0" fieldPosition="0">
        <references count="2">
          <reference field="4294967294" count="1" selected="0">
            <x v="0"/>
          </reference>
          <reference field="0" count="1" selected="0">
            <x v="6"/>
          </reference>
        </references>
      </pivotArea>
    </chartFormat>
    <chartFormat chart="3" format="7">
      <pivotArea type="data" outline="0" fieldPosition="0">
        <references count="2">
          <reference field="4294967294" count="1" selected="0">
            <x v="0"/>
          </reference>
          <reference field="0" count="1" selected="0">
            <x v="12"/>
          </reference>
        </references>
      </pivotArea>
    </chartFormat>
    <chartFormat chart="3" format="8">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F167D9-11E3-6441-BDDB-1BDB1B28BC40}"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MOGRAPHICS">
  <location ref="A9:B13" firstHeaderRow="1" firstDataRow="1" firstDataCol="1"/>
  <pivotFields count="2">
    <pivotField axis="axisRow" showAll="0" sortType="descending">
      <items count="15">
        <item h="1" x="9"/>
        <item h="1" x="6"/>
        <item h="1" x="8"/>
        <item h="1" x="7"/>
        <item h="1" m="1" x="11"/>
        <item h="1" m="1" x="13"/>
        <item h="1" m="1" x="12"/>
        <item x="5"/>
        <item x="3"/>
        <item x="4"/>
        <item h="1" x="0"/>
        <item h="1" x="2"/>
        <item h="1" x="1"/>
        <item h="1" x="1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4">
    <i>
      <x v="8"/>
    </i>
    <i>
      <x v="9"/>
    </i>
    <i>
      <x v="7"/>
    </i>
    <i t="grand">
      <x/>
    </i>
  </rowItems>
  <colItems count="1">
    <i/>
  </colItems>
  <dataFields count="1">
    <dataField name="Sum of TOTAL" fld="1" baseField="0" baseItem="0"/>
  </dataFields>
  <formats count="12">
    <format dxfId="30">
      <pivotArea type="all" dataOnly="0" outline="0" fieldPosition="0"/>
    </format>
    <format dxfId="31">
      <pivotArea outline="0" collapsedLevelsAreSubtotals="1" fieldPosition="0"/>
    </format>
    <format dxfId="32">
      <pivotArea field="0" type="button" dataOnly="0" labelOnly="1" outline="0" axis="axisRow" fieldPosition="0"/>
    </format>
    <format dxfId="33">
      <pivotArea dataOnly="0" labelOnly="1" fieldPosition="0">
        <references count="1">
          <reference field="0" count="0"/>
        </references>
      </pivotArea>
    </format>
    <format dxfId="34">
      <pivotArea dataOnly="0" labelOnly="1" grandRow="1" outline="0" fieldPosition="0"/>
    </format>
    <format dxfId="35">
      <pivotArea dataOnly="0" labelOnly="1" outline="0" axis="axisValues" fieldPosition="0"/>
    </format>
    <format dxfId="36">
      <pivotArea type="all" dataOnly="0" outline="0" fieldPosition="0"/>
    </format>
    <format dxfId="37">
      <pivotArea outline="0" collapsedLevelsAreSubtotals="1" fieldPosition="0"/>
    </format>
    <format dxfId="38">
      <pivotArea field="0" type="button" dataOnly="0" labelOnly="1" outline="0" axis="axisRow" fieldPosition="0"/>
    </format>
    <format dxfId="39">
      <pivotArea dataOnly="0" labelOnly="1" fieldPosition="0">
        <references count="1">
          <reference field="0" count="0"/>
        </references>
      </pivotArea>
    </format>
    <format dxfId="40">
      <pivotArea dataOnly="0" labelOnly="1" grandRow="1" outline="0" fieldPosition="0"/>
    </format>
    <format dxfId="41">
      <pivotArea dataOnly="0" labelOnly="1" outline="0" axis="axisValues" fieldPosition="0"/>
    </format>
  </formats>
  <chartFormats count="9">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0" count="1" selected="0">
            <x v="1"/>
          </reference>
        </references>
      </pivotArea>
    </chartFormat>
    <chartFormat chart="0" format="24">
      <pivotArea type="data" outline="0" fieldPosition="0">
        <references count="2">
          <reference field="4294967294" count="1" selected="0">
            <x v="0"/>
          </reference>
          <reference field="0" count="1" selected="0">
            <x v="0"/>
          </reference>
        </references>
      </pivotArea>
    </chartFormat>
    <chartFormat chart="0" format="25">
      <pivotArea type="data" outline="0" fieldPosition="0">
        <references count="2">
          <reference field="4294967294" count="1" selected="0">
            <x v="0"/>
          </reference>
          <reference field="0" count="1" selected="0">
            <x v="3"/>
          </reference>
        </references>
      </pivotArea>
    </chartFormat>
    <chartFormat chart="0" format="26">
      <pivotArea type="data" outline="0" fieldPosition="0">
        <references count="2">
          <reference field="4294967294" count="1" selected="0">
            <x v="0"/>
          </reference>
          <reference field="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8"/>
          </reference>
        </references>
      </pivotArea>
    </chartFormat>
    <chartFormat chart="3" format="7">
      <pivotArea type="data" outline="0" fieldPosition="0">
        <references count="2">
          <reference field="4294967294" count="1" selected="0">
            <x v="0"/>
          </reference>
          <reference field="0" count="1" selected="0">
            <x v="9"/>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FA7DF-9771-8540-94A5-47841A08D429}"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MOGRAPHICS">
  <location ref="A2:B7" firstHeaderRow="1" firstDataRow="1" firstDataCol="1"/>
  <pivotFields count="2">
    <pivotField axis="axisRow" showAll="0" sortType="descending">
      <items count="15">
        <item x="9"/>
        <item x="6"/>
        <item x="8"/>
        <item x="7"/>
        <item h="1" m="1" x="11"/>
        <item h="1" m="1" x="13"/>
        <item h="1" m="1" x="12"/>
        <item h="1" x="5"/>
        <item h="1" x="3"/>
        <item h="1" x="4"/>
        <item h="1" x="0"/>
        <item h="1" x="2"/>
        <item h="1" x="1"/>
        <item h="1" x="1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i>
    <i>
      <x v="1"/>
    </i>
    <i>
      <x v="3"/>
    </i>
    <i>
      <x v="2"/>
    </i>
    <i t="grand">
      <x/>
    </i>
  </rowItems>
  <colItems count="1">
    <i/>
  </colItems>
  <dataFields count="1">
    <dataField name="Sum of TOTAL" fld="1" baseField="0" baseItem="0"/>
  </dataFields>
  <formats count="12">
    <format dxfId="18">
      <pivotArea type="all" dataOnly="0" outline="0" fieldPosition="0"/>
    </format>
    <format dxfId="19">
      <pivotArea outline="0" collapsedLevelsAreSubtotals="1" fieldPosition="0"/>
    </format>
    <format dxfId="20">
      <pivotArea field="0" type="button" dataOnly="0" labelOnly="1" outline="0" axis="axisRow" fieldPosition="0"/>
    </format>
    <format dxfId="21">
      <pivotArea dataOnly="0" labelOnly="1" fieldPosition="0">
        <references count="1">
          <reference field="0" count="0"/>
        </references>
      </pivotArea>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0" type="button" dataOnly="0" labelOnly="1" outline="0" axis="axisRow" fieldPosition="0"/>
    </format>
    <format dxfId="27">
      <pivotArea dataOnly="0" labelOnly="1" fieldPosition="0">
        <references count="1">
          <reference field="0" count="0"/>
        </references>
      </pivotArea>
    </format>
    <format dxfId="28">
      <pivotArea dataOnly="0" labelOnly="1" grandRow="1" outline="0" fieldPosition="0"/>
    </format>
    <format dxfId="29">
      <pivotArea dataOnly="0" labelOnly="1" outline="0" axis="axisValues" fieldPosition="0"/>
    </format>
  </formats>
  <chartFormats count="5">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0" count="1" selected="0">
            <x v="1"/>
          </reference>
        </references>
      </pivotArea>
    </chartFormat>
    <chartFormat chart="0" format="24">
      <pivotArea type="data" outline="0" fieldPosition="0">
        <references count="2">
          <reference field="4294967294" count="1" selected="0">
            <x v="0"/>
          </reference>
          <reference field="0" count="1" selected="0">
            <x v="0"/>
          </reference>
        </references>
      </pivotArea>
    </chartFormat>
    <chartFormat chart="0" format="25">
      <pivotArea type="data" outline="0" fieldPosition="0">
        <references count="2">
          <reference field="4294967294" count="1" selected="0">
            <x v="0"/>
          </reference>
          <reference field="0" count="1" selected="0">
            <x v="3"/>
          </reference>
        </references>
      </pivotArea>
    </chartFormat>
    <chartFormat chart="0" format="2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15F1CD-2F74-6845-825B-228633EC5547}" name="Table1" displayName="Table1" ref="A1:B13" totalsRowCount="1">
  <autoFilter ref="A1:B12" xr:uid="{0415F1CD-2F74-6845-825B-228633EC5547}"/>
  <tableColumns count="2">
    <tableColumn id="1" xr3:uid="{4ECF8F0B-BB5A-D748-AA4F-038BF53CFBF3}" name="ACTIVITY DEMOGRAPHICS"/>
    <tableColumn id="2" xr3:uid="{09A57128-8635-754E-927C-B4DF6DBC44BD}" name="TOTAL" dataDxfId="16" totalsRowDxfId="17"/>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6087D-A5AE-7243-A31A-D905F2960378}">
  <dimension ref="A2:B20"/>
  <sheetViews>
    <sheetView workbookViewId="0">
      <selection activeCell="J29" sqref="J29"/>
    </sheetView>
  </sheetViews>
  <sheetFormatPr defaultColWidth="11" defaultRowHeight="15.95"/>
  <cols>
    <col min="1" max="1" width="61" bestFit="1" customWidth="1"/>
    <col min="2" max="2" width="12.375" bestFit="1" customWidth="1"/>
  </cols>
  <sheetData>
    <row r="2" spans="1:2">
      <c r="A2" s="53" t="s">
        <v>0</v>
      </c>
      <c r="B2" s="53" t="s">
        <v>1</v>
      </c>
    </row>
    <row r="3" spans="1:2">
      <c r="A3" s="54" t="s">
        <v>2</v>
      </c>
      <c r="B3" s="53">
        <v>880</v>
      </c>
    </row>
    <row r="4" spans="1:2">
      <c r="A4" s="54" t="s">
        <v>3</v>
      </c>
      <c r="B4" s="53">
        <v>840</v>
      </c>
    </row>
    <row r="5" spans="1:2">
      <c r="A5" s="54" t="s">
        <v>4</v>
      </c>
      <c r="B5" s="53">
        <v>28</v>
      </c>
    </row>
    <row r="6" spans="1:2">
      <c r="A6" s="54" t="s">
        <v>5</v>
      </c>
      <c r="B6" s="53">
        <v>12</v>
      </c>
    </row>
    <row r="7" spans="1:2">
      <c r="A7" s="54" t="s">
        <v>6</v>
      </c>
      <c r="B7" s="53">
        <v>1760</v>
      </c>
    </row>
    <row r="9" spans="1:2">
      <c r="A9" s="53" t="s">
        <v>0</v>
      </c>
      <c r="B9" s="53" t="s">
        <v>1</v>
      </c>
    </row>
    <row r="10" spans="1:2">
      <c r="A10" s="54" t="s">
        <v>7</v>
      </c>
      <c r="B10" s="53">
        <v>7</v>
      </c>
    </row>
    <row r="11" spans="1:2">
      <c r="A11" s="54" t="s">
        <v>8</v>
      </c>
      <c r="B11" s="53">
        <v>3</v>
      </c>
    </row>
    <row r="12" spans="1:2">
      <c r="A12" s="54" t="s">
        <v>9</v>
      </c>
      <c r="B12" s="53">
        <v>3</v>
      </c>
    </row>
    <row r="13" spans="1:2">
      <c r="A13" s="54" t="s">
        <v>6</v>
      </c>
      <c r="B13" s="53">
        <v>13</v>
      </c>
    </row>
    <row r="15" spans="1:2">
      <c r="A15" s="53" t="s">
        <v>0</v>
      </c>
      <c r="B15" s="53" t="s">
        <v>1</v>
      </c>
    </row>
    <row r="16" spans="1:2">
      <c r="A16" s="54" t="s">
        <v>10</v>
      </c>
      <c r="B16" s="53">
        <v>14</v>
      </c>
    </row>
    <row r="17" spans="1:2">
      <c r="A17" s="54" t="s">
        <v>11</v>
      </c>
      <c r="B17" s="53">
        <v>9</v>
      </c>
    </row>
    <row r="18" spans="1:2">
      <c r="A18" s="54" t="s">
        <v>12</v>
      </c>
      <c r="B18" s="53">
        <v>1</v>
      </c>
    </row>
    <row r="19" spans="1:2">
      <c r="A19" s="54" t="s">
        <v>13</v>
      </c>
      <c r="B19" s="53">
        <v>0</v>
      </c>
    </row>
    <row r="20" spans="1:2">
      <c r="A20" s="54" t="s">
        <v>6</v>
      </c>
      <c r="B20" s="53">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5F18-8765-4047-A1C0-65BB0B048224}">
  <dimension ref="A1:E31"/>
  <sheetViews>
    <sheetView topLeftCell="A12" zoomScale="220" zoomScaleNormal="220" workbookViewId="0">
      <selection activeCell="A17" sqref="A17"/>
    </sheetView>
  </sheetViews>
  <sheetFormatPr defaultColWidth="11" defaultRowHeight="15.95"/>
  <cols>
    <col min="1" max="1" width="63.125" bestFit="1" customWidth="1"/>
    <col min="2" max="5" width="10.875" style="35"/>
  </cols>
  <sheetData>
    <row r="1" spans="1:2">
      <c r="A1" s="52" t="s">
        <v>14</v>
      </c>
      <c r="B1" s="35" t="s">
        <v>15</v>
      </c>
    </row>
    <row r="2" spans="1:2">
      <c r="A2" t="s">
        <v>10</v>
      </c>
      <c r="B2" s="35">
        <v>14</v>
      </c>
    </row>
    <row r="3" spans="1:2">
      <c r="A3" t="s">
        <v>11</v>
      </c>
      <c r="B3" s="35">
        <f>'TAB 2- MAIN'!D17</f>
        <v>9</v>
      </c>
    </row>
    <row r="4" spans="1:2">
      <c r="A4" t="s">
        <v>12</v>
      </c>
      <c r="B4" s="35">
        <f>'TAB 2- MAIN'!G17</f>
        <v>1</v>
      </c>
    </row>
    <row r="5" spans="1:2">
      <c r="A5" t="s">
        <v>7</v>
      </c>
      <c r="B5" s="35">
        <v>7</v>
      </c>
    </row>
    <row r="6" spans="1:2">
      <c r="A6" t="s">
        <v>8</v>
      </c>
      <c r="B6" s="35">
        <v>3</v>
      </c>
    </row>
    <row r="7" spans="1:2">
      <c r="A7" t="s">
        <v>9</v>
      </c>
      <c r="B7" s="35">
        <v>3</v>
      </c>
    </row>
    <row r="8" spans="1:2">
      <c r="A8" t="s">
        <v>3</v>
      </c>
      <c r="B8" s="36">
        <f>'TAB 2- MAIN'!J18</f>
        <v>840</v>
      </c>
    </row>
    <row r="9" spans="1:2">
      <c r="A9" t="s">
        <v>4</v>
      </c>
      <c r="B9" s="36">
        <f>'TAB 2- MAIN'!K18</f>
        <v>28</v>
      </c>
    </row>
    <row r="10" spans="1:2">
      <c r="A10" s="37" t="s">
        <v>5</v>
      </c>
      <c r="B10" s="36">
        <f>'TAB 2- MAIN'!L18</f>
        <v>12</v>
      </c>
    </row>
    <row r="11" spans="1:2">
      <c r="A11" t="s">
        <v>2</v>
      </c>
      <c r="B11" s="36">
        <f>SUM(B8:B10)</f>
        <v>880</v>
      </c>
    </row>
    <row r="12" spans="1:2">
      <c r="A12" t="s">
        <v>13</v>
      </c>
      <c r="B12" s="35">
        <f>'TAB 2- MAIN'!O18</f>
        <v>0</v>
      </c>
    </row>
    <row r="13" spans="1:2">
      <c r="B13" s="36"/>
    </row>
    <row r="14" spans="1:2">
      <c r="A14" s="52" t="s">
        <v>16</v>
      </c>
    </row>
    <row r="15" spans="1:2">
      <c r="A15" t="s">
        <v>17</v>
      </c>
      <c r="B15" s="35">
        <f>'Tab 1 -QA COMPLIANCE CHECKLIST'!Q17</f>
        <v>0</v>
      </c>
    </row>
    <row r="16" spans="1:2" ht="17.100000000000001">
      <c r="A16" s="1" t="str">
        <f>'Tab 1 -QA COMPLIANCE CHECKLIST'!C3</f>
        <v xml:space="preserve">MASTERING ASSESSMENT FOR TEACHING AND HIGHER-ORDER LEARNING </v>
      </c>
    </row>
    <row r="17" spans="1:1" ht="33.950000000000003">
      <c r="A17" s="1" t="str">
        <f>'Tab 1 -QA COMPLIANCE CHECKLIST'!C4</f>
        <v xml:space="preserve">INSTRUCTIONAL LEADERSHIP UPSKILLING ON INCLUSIVE PEDAGOGY FOR GENERAL EDUCATION RECEIVING TEACHERS </v>
      </c>
    </row>
    <row r="18" spans="1:1" ht="33.950000000000003">
      <c r="A18" s="1" t="str">
        <f>'Tab 1 -QA COMPLIANCE CHECKLIST'!C5</f>
        <v>STEM IN MOTION: Instructional Leadership Training on Content, Pedagogy, and Utlization of Mathematics and Science Equipment</v>
      </c>
    </row>
    <row r="19" spans="1:1" ht="17.100000000000001">
      <c r="A19" s="1" t="str">
        <f>'Tab 1 -QA COMPLIANCE CHECKLIST'!C6</f>
        <v>CID-ILTABS (JHS AND SHS)</v>
      </c>
    </row>
    <row r="20" spans="1:1" ht="33.950000000000003">
      <c r="A20" s="1" t="str">
        <f>'Tab 1 -QA COMPLIANCE CHECKLIST'!C7</f>
        <v>DEEPENING INSTRUCTIONAL LEADERSHIP IN EVERY CLASSROOM THROUGH LITERACY DEVELOPMENT</v>
      </c>
    </row>
    <row r="21" spans="1:1" ht="17.100000000000001">
      <c r="A21" s="1" t="str">
        <f>'Tab 1 -QA COMPLIANCE CHECKLIST'!C8</f>
        <v>EMPOWERING ALS CHAMPIONS'' LITERACY AND NUMERACY INSTRUCTION</v>
      </c>
    </row>
    <row r="22" spans="1:1" ht="33.950000000000003">
      <c r="A22" s="1" t="str">
        <f>'Tab 1 -QA COMPLIANCE CHECKLIST'!C9</f>
        <v>STRENGTENING BEGINNING LITERACY INSTRUCTION OF UNTRAINED KINDERGARTEN TEACHERS THROUGH SCIENCE OF READING</v>
      </c>
    </row>
    <row r="23" spans="1:1" ht="33.950000000000003">
      <c r="A23" s="1" t="str">
        <f>'Tab 1 -QA COMPLIANCE CHECKLIST'!C10</f>
        <v>INSTRUCTIONAL LEADERSHIP TRAINING NON-MAJORS IN VALUES EDUCATION INSTRUCTION AND PERSONAL TRANSFORMATION</v>
      </c>
    </row>
    <row r="24" spans="1:1" ht="17.100000000000001">
      <c r="A24" s="1" t="str">
        <f>'Tab 1 -QA COMPLIANCE CHECKLIST'!C11</f>
        <v>INSTRUCTIONAL LEADERSHIP ON PEDAGOGY FOR NON-MAPEH MAJORS</v>
      </c>
    </row>
    <row r="25" spans="1:1" ht="33.950000000000003">
      <c r="A25" s="1" t="str">
        <f>'Tab 1 -QA COMPLIANCE CHECKLIST'!C12</f>
        <v>ADVANCING STEM LEARNING: Capacitating Senior High School teachers for the Strengthened Mathematics and Science Curriculum</v>
      </c>
    </row>
    <row r="26" spans="1:1" ht="33.950000000000003">
      <c r="A26" s="1" t="str">
        <f>'Tab 1 -QA COMPLIANCE CHECKLIST'!C13</f>
        <v>Advancing Instructional Leadership on Pedagogical, Precision, and Interdisciplinary Practice for VALSNED Teachers</v>
      </c>
    </row>
    <row r="27" spans="1:1" ht="33.950000000000003">
      <c r="A27" s="1" t="str">
        <f>'Tab 1 -QA COMPLIANCE CHECKLIST'!C14</f>
        <v xml:space="preserve">PRACTICAL  KINDERGARTEN STRATEGIES IN UNDERSTANDING AND MANAGING LEARNER BEHAVIOR </v>
      </c>
    </row>
    <row r="28" spans="1:1" ht="33.950000000000003">
      <c r="A28" s="1" t="str">
        <f>'Tab 1 -QA COMPLIANCE CHECKLIST'!C15</f>
        <v>Capacity Building for Araling Panlipunan Master Teachers on Instructional Coaching, Mentoring &amp; Classroom Observation Protocols</v>
      </c>
    </row>
    <row r="29" spans="1:1" ht="33.950000000000003">
      <c r="A29" s="1" t="str">
        <f>'Tab 1 -QA COMPLIANCE CHECKLIST'!C16</f>
        <v xml:space="preserve">IMPACT: Integrating Modern Pedagogy, Assessment, Competencies, and Technology </v>
      </c>
    </row>
    <row r="30" spans="1:1">
      <c r="A30" s="1">
        <f>'Tab 1 -QA COMPLIANCE CHECKLIST'!C17</f>
        <v>0</v>
      </c>
    </row>
    <row r="31" spans="1:1">
      <c r="A31" s="1">
        <f>'Tab 1 -QA COMPLIANCE CHECKLIST'!C18</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E86E-317F-1A4F-8609-8B4B62B1D0E1}">
  <dimension ref="A1:Q51"/>
  <sheetViews>
    <sheetView tabSelected="1" topLeftCell="A2" zoomScale="85" zoomScaleNormal="85" workbookViewId="0">
      <selection activeCell="S24" sqref="S24"/>
    </sheetView>
  </sheetViews>
  <sheetFormatPr defaultColWidth="10.875" defaultRowHeight="15.95"/>
  <cols>
    <col min="1" max="1" width="17.5" style="53" bestFit="1" customWidth="1"/>
    <col min="2" max="2" width="48.125" style="53" bestFit="1" customWidth="1"/>
    <col min="3" max="3" width="12.375" style="53" bestFit="1" customWidth="1"/>
    <col min="4" max="4" width="12.375" style="53" customWidth="1"/>
    <col min="5" max="5" width="19.5" style="53" customWidth="1"/>
    <col min="6" max="6" width="1.5" style="53" customWidth="1"/>
    <col min="7" max="7" width="33.875" style="53" customWidth="1"/>
    <col min="8" max="8" width="23.375" style="53" customWidth="1"/>
    <col min="9" max="9" width="1.625" style="53" customWidth="1"/>
    <col min="10" max="10" width="47" style="53" bestFit="1" customWidth="1"/>
    <col min="11" max="12" width="41.625" style="53" customWidth="1"/>
    <col min="13" max="13" width="3" style="53" customWidth="1"/>
    <col min="14" max="14" width="49" style="53" customWidth="1"/>
    <col min="15" max="15" width="5.375" style="53" customWidth="1"/>
    <col min="16" max="16" width="47.375" style="53" customWidth="1"/>
    <col min="17" max="17" width="41.625" style="53" bestFit="1" customWidth="1"/>
    <col min="18" max="18" width="6.875" style="53" customWidth="1"/>
    <col min="19" max="19" width="49.5" style="53" bestFit="1" customWidth="1"/>
    <col min="20" max="20" width="10.5" style="53" bestFit="1" customWidth="1"/>
    <col min="21" max="16384" width="10.875" style="53"/>
  </cols>
  <sheetData>
    <row r="1" spans="1:17" ht="99" customHeight="1" thickBot="1">
      <c r="A1" s="124" t="s">
        <v>18</v>
      </c>
      <c r="B1" s="124"/>
      <c r="C1" s="124"/>
      <c r="D1" s="124"/>
      <c r="E1" s="124"/>
      <c r="F1" s="124"/>
      <c r="G1" s="124"/>
      <c r="H1" s="124"/>
      <c r="I1" s="124"/>
      <c r="J1" s="124"/>
      <c r="K1" s="124"/>
      <c r="L1" s="124"/>
      <c r="M1" s="124"/>
      <c r="N1" s="124"/>
      <c r="O1" s="124"/>
      <c r="P1" s="124"/>
      <c r="Q1" s="124"/>
    </row>
    <row r="2" spans="1:17">
      <c r="A2" s="61"/>
      <c r="B2" s="62"/>
      <c r="C2" s="62"/>
      <c r="D2" s="62"/>
      <c r="E2" s="63"/>
      <c r="G2" s="55"/>
      <c r="H2" s="56"/>
      <c r="J2" s="70"/>
      <c r="K2" s="71"/>
      <c r="L2" s="96"/>
      <c r="N2" s="79"/>
      <c r="O2" s="80"/>
      <c r="P2" s="80"/>
      <c r="Q2" s="81"/>
    </row>
    <row r="3" spans="1:17">
      <c r="A3" s="64"/>
      <c r="B3" s="65"/>
      <c r="C3" s="65"/>
      <c r="D3" s="65"/>
      <c r="E3" s="66"/>
      <c r="G3" s="57"/>
      <c r="H3" s="58"/>
      <c r="J3" s="97"/>
      <c r="K3" s="98"/>
      <c r="L3" s="99"/>
      <c r="N3" s="82"/>
      <c r="Q3" s="83"/>
    </row>
    <row r="4" spans="1:17">
      <c r="A4" s="64"/>
      <c r="B4" s="65"/>
      <c r="C4" s="65"/>
      <c r="D4" s="65"/>
      <c r="E4" s="66"/>
      <c r="G4" s="57"/>
      <c r="H4" s="58"/>
      <c r="J4" s="97"/>
      <c r="K4" s="98"/>
      <c r="L4" s="99"/>
      <c r="N4" s="82"/>
      <c r="Q4" s="83"/>
    </row>
    <row r="5" spans="1:17">
      <c r="A5" s="64"/>
      <c r="B5" s="65"/>
      <c r="C5" s="65"/>
      <c r="D5" s="65"/>
      <c r="E5" s="66"/>
      <c r="G5" s="57"/>
      <c r="H5" s="58"/>
      <c r="J5" s="97"/>
      <c r="K5" s="98"/>
      <c r="L5" s="99"/>
      <c r="N5" s="82"/>
      <c r="Q5" s="83"/>
    </row>
    <row r="6" spans="1:17">
      <c r="A6" s="64"/>
      <c r="B6" s="65"/>
      <c r="C6" s="65"/>
      <c r="D6" s="65"/>
      <c r="E6" s="66"/>
      <c r="G6" s="57"/>
      <c r="H6" s="58"/>
      <c r="J6" s="97"/>
      <c r="K6" s="98"/>
      <c r="L6" s="99"/>
      <c r="N6" s="82"/>
      <c r="Q6" s="83"/>
    </row>
    <row r="7" spans="1:17">
      <c r="A7" s="64"/>
      <c r="B7" s="65"/>
      <c r="C7" s="65"/>
      <c r="D7" s="65"/>
      <c r="E7" s="66"/>
      <c r="G7" s="57"/>
      <c r="H7" s="58"/>
      <c r="J7" s="97"/>
      <c r="K7" s="98"/>
      <c r="L7" s="99"/>
      <c r="N7" s="82"/>
      <c r="Q7" s="83"/>
    </row>
    <row r="8" spans="1:17">
      <c r="A8" s="64"/>
      <c r="B8" s="65"/>
      <c r="C8" s="65"/>
      <c r="D8" s="65"/>
      <c r="E8" s="66"/>
      <c r="G8" s="57"/>
      <c r="H8" s="58"/>
      <c r="J8" s="97"/>
      <c r="K8" s="98"/>
      <c r="L8" s="99"/>
      <c r="N8" s="82"/>
      <c r="Q8" s="83"/>
    </row>
    <row r="9" spans="1:17">
      <c r="A9" s="64"/>
      <c r="B9" s="65"/>
      <c r="C9" s="65"/>
      <c r="D9" s="65"/>
      <c r="E9" s="66"/>
      <c r="G9" s="57"/>
      <c r="H9" s="58"/>
      <c r="J9" s="97"/>
      <c r="K9" s="98"/>
      <c r="L9" s="99"/>
      <c r="N9" s="82"/>
      <c r="Q9" s="83"/>
    </row>
    <row r="10" spans="1:17">
      <c r="A10" s="64"/>
      <c r="B10" s="65"/>
      <c r="C10" s="65"/>
      <c r="D10" s="65"/>
      <c r="E10" s="66"/>
      <c r="G10" s="57"/>
      <c r="H10" s="58"/>
      <c r="J10" s="97"/>
      <c r="K10" s="98"/>
      <c r="L10" s="99"/>
      <c r="N10" s="82"/>
      <c r="Q10" s="83"/>
    </row>
    <row r="11" spans="1:17">
      <c r="A11" s="64"/>
      <c r="B11" s="65"/>
      <c r="C11" s="65"/>
      <c r="D11" s="65"/>
      <c r="E11" s="66"/>
      <c r="G11" s="57"/>
      <c r="H11" s="58"/>
      <c r="J11" s="97"/>
      <c r="K11" s="98"/>
      <c r="L11" s="99"/>
      <c r="N11" s="82"/>
      <c r="Q11" s="83"/>
    </row>
    <row r="12" spans="1:17">
      <c r="A12" s="64"/>
      <c r="B12" s="65"/>
      <c r="C12" s="65"/>
      <c r="D12" s="65"/>
      <c r="E12" s="66"/>
      <c r="G12" s="57"/>
      <c r="H12" s="58"/>
      <c r="J12" s="97"/>
      <c r="K12" s="98"/>
      <c r="L12" s="99"/>
      <c r="N12" s="82"/>
      <c r="Q12" s="83"/>
    </row>
    <row r="13" spans="1:17">
      <c r="A13" s="64"/>
      <c r="B13" s="65"/>
      <c r="C13" s="65"/>
      <c r="D13" s="65"/>
      <c r="E13" s="66"/>
      <c r="G13" s="57"/>
      <c r="H13" s="58"/>
      <c r="J13" s="97"/>
      <c r="K13" s="98"/>
      <c r="L13" s="99"/>
      <c r="N13" s="82"/>
      <c r="Q13" s="83"/>
    </row>
    <row r="14" spans="1:17">
      <c r="A14" s="64"/>
      <c r="B14" s="65"/>
      <c r="C14" s="65"/>
      <c r="D14" s="65"/>
      <c r="E14" s="66"/>
      <c r="G14" s="57"/>
      <c r="H14" s="58"/>
      <c r="J14" s="97"/>
      <c r="K14" s="98"/>
      <c r="L14" s="99"/>
      <c r="N14" s="82"/>
      <c r="Q14" s="83"/>
    </row>
    <row r="15" spans="1:17">
      <c r="A15" s="64"/>
      <c r="B15" s="65"/>
      <c r="C15" s="65"/>
      <c r="D15" s="65"/>
      <c r="E15" s="66"/>
      <c r="G15" s="57"/>
      <c r="H15" s="58"/>
      <c r="J15" s="97"/>
      <c r="K15" s="98"/>
      <c r="L15" s="99"/>
      <c r="N15" s="82"/>
      <c r="Q15" s="83"/>
    </row>
    <row r="16" spans="1:17">
      <c r="A16" s="64"/>
      <c r="B16" s="65"/>
      <c r="C16" s="65"/>
      <c r="D16" s="65"/>
      <c r="E16" s="66"/>
      <c r="G16" s="57"/>
      <c r="H16" s="58"/>
      <c r="J16" s="97"/>
      <c r="K16" s="98"/>
      <c r="L16" s="99"/>
      <c r="N16" s="82"/>
      <c r="Q16" s="83"/>
    </row>
    <row r="17" spans="1:17">
      <c r="A17" s="64"/>
      <c r="B17" s="65"/>
      <c r="C17" s="65"/>
      <c r="D17" s="65"/>
      <c r="E17" s="66"/>
      <c r="G17" s="57"/>
      <c r="H17" s="58"/>
      <c r="J17" s="97"/>
      <c r="K17" s="98"/>
      <c r="L17" s="99"/>
      <c r="N17" s="82"/>
      <c r="Q17" s="83"/>
    </row>
    <row r="18" spans="1:17">
      <c r="A18" s="64"/>
      <c r="B18" s="65"/>
      <c r="C18" s="65"/>
      <c r="D18" s="65"/>
      <c r="E18" s="66"/>
      <c r="G18" s="57"/>
      <c r="H18" s="58"/>
      <c r="J18" s="97"/>
      <c r="K18" s="98"/>
      <c r="L18" s="99"/>
      <c r="N18" s="82"/>
      <c r="Q18" s="83"/>
    </row>
    <row r="19" spans="1:17">
      <c r="A19" s="64"/>
      <c r="B19" s="65"/>
      <c r="C19" s="65"/>
      <c r="D19" s="65"/>
      <c r="E19" s="66"/>
      <c r="G19" s="57"/>
      <c r="H19" s="58"/>
      <c r="J19" s="97"/>
      <c r="K19" s="98"/>
      <c r="L19" s="99"/>
      <c r="N19" s="82"/>
      <c r="Q19" s="83"/>
    </row>
    <row r="20" spans="1:17" ht="17.100000000000001" thickBot="1">
      <c r="A20" s="64"/>
      <c r="B20" s="65"/>
      <c r="C20" s="65"/>
      <c r="D20" s="65"/>
      <c r="E20" s="66"/>
      <c r="G20" s="59"/>
      <c r="H20" s="60"/>
      <c r="J20" s="97"/>
      <c r="K20" s="98"/>
      <c r="L20" s="99"/>
      <c r="N20" s="82"/>
      <c r="Q20" s="83"/>
    </row>
    <row r="21" spans="1:17" ht="17.100000000000001" thickBot="1">
      <c r="A21" s="64"/>
      <c r="B21" s="65"/>
      <c r="C21" s="65"/>
      <c r="D21" s="65"/>
      <c r="E21" s="66"/>
      <c r="J21" s="97"/>
      <c r="K21" s="98"/>
      <c r="L21" s="99"/>
      <c r="N21" s="82"/>
      <c r="Q21" s="83"/>
    </row>
    <row r="22" spans="1:17">
      <c r="A22" s="64"/>
      <c r="B22" s="65"/>
      <c r="C22" s="65"/>
      <c r="D22" s="65"/>
      <c r="E22" s="66"/>
      <c r="G22" s="130">
        <f>'DASHBOARD DATA'!B15</f>
        <v>0</v>
      </c>
      <c r="H22" s="127" t="s">
        <v>19</v>
      </c>
      <c r="J22" s="97"/>
      <c r="K22" s="98"/>
      <c r="L22" s="99"/>
      <c r="N22" s="82"/>
      <c r="Q22" s="83"/>
    </row>
    <row r="23" spans="1:17">
      <c r="A23" s="64"/>
      <c r="B23" s="65"/>
      <c r="C23" s="65"/>
      <c r="D23" s="65"/>
      <c r="E23" s="66"/>
      <c r="G23" s="131"/>
      <c r="H23" s="128"/>
      <c r="J23" s="97"/>
      <c r="K23" s="98"/>
      <c r="L23" s="99"/>
      <c r="N23" s="82"/>
      <c r="Q23" s="83"/>
    </row>
    <row r="24" spans="1:17">
      <c r="A24" s="64"/>
      <c r="B24" s="65"/>
      <c r="C24" s="65"/>
      <c r="D24" s="65"/>
      <c r="E24" s="66"/>
      <c r="G24" s="131"/>
      <c r="H24" s="128"/>
      <c r="J24" s="97"/>
      <c r="K24" s="98"/>
      <c r="L24" s="99"/>
      <c r="N24" s="82"/>
      <c r="Q24" s="83"/>
    </row>
    <row r="25" spans="1:17" ht="17.100000000000001" thickBot="1">
      <c r="A25" s="64"/>
      <c r="B25" s="65"/>
      <c r="C25" s="65"/>
      <c r="D25" s="65"/>
      <c r="E25" s="66"/>
      <c r="G25" s="131"/>
      <c r="H25" s="128"/>
      <c r="J25" s="72"/>
      <c r="K25" s="100"/>
      <c r="L25" s="101"/>
      <c r="N25" s="84"/>
      <c r="O25" s="86"/>
      <c r="P25" s="86"/>
      <c r="Q25" s="85"/>
    </row>
    <row r="26" spans="1:17" ht="17.100000000000001" thickBot="1">
      <c r="A26" s="64"/>
      <c r="B26" s="65"/>
      <c r="C26" s="65"/>
      <c r="D26" s="65"/>
      <c r="E26" s="66"/>
      <c r="G26" s="131"/>
      <c r="H26" s="128"/>
    </row>
    <row r="27" spans="1:17" ht="15.95" customHeight="1">
      <c r="A27" s="64"/>
      <c r="B27" s="65"/>
      <c r="C27" s="65"/>
      <c r="D27" s="65"/>
      <c r="E27" s="66"/>
      <c r="G27" s="131"/>
      <c r="H27" s="128"/>
      <c r="J27" s="55"/>
      <c r="K27" s="102"/>
      <c r="L27" s="103"/>
      <c r="N27" s="117" t="s">
        <v>20</v>
      </c>
      <c r="P27" s="104"/>
      <c r="Q27" s="104"/>
    </row>
    <row r="28" spans="1:17" ht="114.95" customHeight="1" thickBot="1">
      <c r="A28" s="67"/>
      <c r="B28" s="94"/>
      <c r="C28" s="94"/>
      <c r="D28" s="94"/>
      <c r="E28" s="95"/>
      <c r="G28" s="132"/>
      <c r="H28" s="129"/>
      <c r="J28" s="59"/>
      <c r="K28" s="115">
        <f>'TAB 2- MAIN'!E18</f>
        <v>4122970</v>
      </c>
      <c r="L28" s="116"/>
      <c r="M28" s="69"/>
      <c r="N28" s="118"/>
      <c r="P28" s="104"/>
      <c r="Q28" s="104"/>
    </row>
    <row r="29" spans="1:17" ht="17.100000000000001" customHeight="1" thickBot="1">
      <c r="L29" s="69"/>
      <c r="M29" s="69"/>
    </row>
    <row r="30" spans="1:17" ht="32.1">
      <c r="A30" s="105" t="s">
        <v>21</v>
      </c>
      <c r="B30" s="106" t="s">
        <v>22</v>
      </c>
      <c r="C30" s="102"/>
      <c r="D30" s="102"/>
      <c r="E30" s="102"/>
      <c r="F30" s="102"/>
      <c r="G30" s="102"/>
      <c r="H30" s="102"/>
      <c r="I30" s="102"/>
      <c r="J30" s="107" t="s">
        <v>23</v>
      </c>
      <c r="K30" s="102"/>
      <c r="L30" s="108" t="s">
        <v>24</v>
      </c>
      <c r="N30" s="111"/>
      <c r="P30" s="104"/>
      <c r="Q30" s="104"/>
    </row>
    <row r="31" spans="1:17" ht="29.1">
      <c r="A31" s="87" t="str">
        <f>'TAB 2- MAIN'!B3</f>
        <v>CID-A1</v>
      </c>
      <c r="B31" s="125" t="str">
        <f>'DASHBOARD DATA'!A16</f>
        <v xml:space="preserve">MASTERING ASSESSMENT FOR TEACHING AND HIGHER-ORDER LEARNING </v>
      </c>
      <c r="C31" s="125"/>
      <c r="D31" s="125"/>
      <c r="E31" s="125"/>
      <c r="F31" s="125"/>
      <c r="G31" s="125"/>
      <c r="H31" s="125"/>
      <c r="J31" s="88" t="str">
        <f>'TAB 2- MAIN'!A3</f>
        <v>DOC SORIANO
DOC PRONDO
DOC CARLOS
DOC TUGADE</v>
      </c>
      <c r="L31" s="89" t="str">
        <f>'TAB 2- MAIN'!P3</f>
        <v>REFINEMENT</v>
      </c>
      <c r="N31" s="112"/>
      <c r="P31" s="104"/>
      <c r="Q31" s="104"/>
    </row>
    <row r="32" spans="1:17" ht="29.1">
      <c r="A32" s="87" t="str">
        <f>'TAB 2- MAIN'!B4</f>
        <v>CID-A2</v>
      </c>
      <c r="B32" s="125" t="str">
        <f>'DASHBOARD DATA'!A17</f>
        <v xml:space="preserve">INSTRUCTIONAL LEADERSHIP UPSKILLING ON INCLUSIVE PEDAGOGY FOR GENERAL EDUCATION RECEIVING TEACHERS </v>
      </c>
      <c r="C32" s="125"/>
      <c r="D32" s="125"/>
      <c r="E32" s="125"/>
      <c r="F32" s="125"/>
      <c r="G32" s="125"/>
      <c r="H32" s="125"/>
      <c r="J32" s="88" t="str">
        <f>'TAB 2- MAIN'!A4</f>
        <v>DOC PANGAN</v>
      </c>
      <c r="L32" s="89" t="str">
        <f>'TAB 2- MAIN'!P4</f>
        <v>REFINEMENT</v>
      </c>
      <c r="N32" s="119" t="s">
        <v>25</v>
      </c>
      <c r="P32" s="104"/>
      <c r="Q32" s="104"/>
    </row>
    <row r="33" spans="1:17" ht="29.1">
      <c r="A33" s="87" t="str">
        <f>'TAB 2- MAIN'!B5</f>
        <v>CID-A3</v>
      </c>
      <c r="B33" s="125" t="str">
        <f>'DASHBOARD DATA'!A18</f>
        <v>STEM IN MOTION: Instructional Leadership Training on Content, Pedagogy, and Utlization of Mathematics and Science Equipment</v>
      </c>
      <c r="C33" s="125"/>
      <c r="D33" s="125"/>
      <c r="E33" s="125"/>
      <c r="F33" s="125"/>
      <c r="G33" s="125"/>
      <c r="H33" s="125"/>
      <c r="J33" s="88" t="str">
        <f>'TAB 2- MAIN'!A5</f>
        <v>DOC PRONDO</v>
      </c>
      <c r="L33" s="89" t="str">
        <f>'TAB 2- MAIN'!P5</f>
        <v>REFINEMENT</v>
      </c>
      <c r="N33" s="119"/>
      <c r="P33" s="104"/>
      <c r="Q33" s="104"/>
    </row>
    <row r="34" spans="1:17" ht="29.1">
      <c r="A34" s="87" t="str">
        <f>'TAB 2- MAIN'!B6</f>
        <v>CID-A4</v>
      </c>
      <c r="B34" s="125" t="str">
        <f>'DASHBOARD DATA'!A19</f>
        <v>CID-ILTABS (JHS AND SHS)</v>
      </c>
      <c r="C34" s="125"/>
      <c r="D34" s="125"/>
      <c r="E34" s="125"/>
      <c r="F34" s="125"/>
      <c r="G34" s="125"/>
      <c r="H34" s="125"/>
      <c r="J34" s="88" t="str">
        <f>'TAB 2- MAIN'!A6</f>
        <v>DR. SALVADOR</v>
      </c>
      <c r="L34" s="89" t="str">
        <f>'TAB 2- MAIN'!P6</f>
        <v>REFINEMENT</v>
      </c>
      <c r="N34" s="119"/>
      <c r="P34" s="104"/>
      <c r="Q34" s="104"/>
    </row>
    <row r="35" spans="1:17" ht="30" thickBot="1">
      <c r="A35" s="87" t="str">
        <f>'TAB 2- MAIN'!B7</f>
        <v>CID-A5</v>
      </c>
      <c r="B35" s="125" t="str">
        <f>'DASHBOARD DATA'!A20</f>
        <v>DEEPENING INSTRUCTIONAL LEADERSHIP IN EVERY CLASSROOM THROUGH LITERACY DEVELOPMENT</v>
      </c>
      <c r="C35" s="125"/>
      <c r="D35" s="125"/>
      <c r="E35" s="125"/>
      <c r="F35" s="125"/>
      <c r="G35" s="125"/>
      <c r="H35" s="125"/>
      <c r="J35" s="88" t="str">
        <f>'TAB 2- MAIN'!A7</f>
        <v>DOC. TUGADE</v>
      </c>
      <c r="L35" s="89" t="str">
        <f>'TAB 2- MAIN'!P7</f>
        <v>REFINEMENT</v>
      </c>
      <c r="N35" s="120"/>
      <c r="P35" s="104"/>
      <c r="Q35" s="104"/>
    </row>
    <row r="36" spans="1:17" ht="30" thickBot="1">
      <c r="A36" s="87" t="str">
        <f>'TAB 2- MAIN'!B8</f>
        <v>CID-A6</v>
      </c>
      <c r="B36" s="125" t="str">
        <f>'DASHBOARD DATA'!A21</f>
        <v>EMPOWERING ALS CHAMPIONS'' LITERACY AND NUMERACY INSTRUCTION</v>
      </c>
      <c r="C36" s="125"/>
      <c r="D36" s="125"/>
      <c r="E36" s="125"/>
      <c r="F36" s="125"/>
      <c r="G36" s="125"/>
      <c r="H36" s="125"/>
      <c r="J36" s="88" t="str">
        <f>'TAB 2- MAIN'!A8</f>
        <v>DOC TEJADA</v>
      </c>
      <c r="L36" s="89" t="str">
        <f>'TAB 2- MAIN'!P8</f>
        <v>REFINEMENT</v>
      </c>
      <c r="N36" s="90"/>
    </row>
    <row r="37" spans="1:17" ht="29.1">
      <c r="A37" s="87" t="str">
        <f>'TAB 2- MAIN'!B9</f>
        <v>CID-A7</v>
      </c>
      <c r="B37" s="125" t="str">
        <f>'DASHBOARD DATA'!A22</f>
        <v>STRENGTENING BEGINNING LITERACY INSTRUCTION OF UNTRAINED KINDERGARTEN TEACHERS THROUGH SCIENCE OF READING</v>
      </c>
      <c r="C37" s="125"/>
      <c r="D37" s="125"/>
      <c r="E37" s="125"/>
      <c r="F37" s="125"/>
      <c r="G37" s="125"/>
      <c r="H37" s="125"/>
      <c r="J37" s="88" t="str">
        <f>'TAB 2- MAIN'!A9</f>
        <v>DR. MATIC</v>
      </c>
      <c r="L37" s="89" t="str">
        <f>'TAB 2- MAIN'!P9</f>
        <v>REFINEMENT</v>
      </c>
      <c r="N37" s="109"/>
      <c r="P37" s="104"/>
      <c r="Q37" s="104"/>
    </row>
    <row r="38" spans="1:17" ht="29.1">
      <c r="A38" s="87" t="str">
        <f>'TAB 2- MAIN'!B10</f>
        <v>CID-A8</v>
      </c>
      <c r="B38" s="125" t="str">
        <f>'DASHBOARD DATA'!A23</f>
        <v>INSTRUCTIONAL LEADERSHIP TRAINING NON-MAJORS IN VALUES EDUCATION INSTRUCTION AND PERSONAL TRANSFORMATION</v>
      </c>
      <c r="C38" s="125"/>
      <c r="D38" s="125"/>
      <c r="E38" s="125"/>
      <c r="F38" s="125"/>
      <c r="G38" s="125"/>
      <c r="H38" s="125"/>
      <c r="J38" s="88" t="str">
        <f>'TAB 2- MAIN'!A10</f>
        <v>DR. SALVADOR</v>
      </c>
      <c r="L38" s="89" t="str">
        <f>'TAB 2- MAIN'!P10</f>
        <v>REFINEMENT</v>
      </c>
      <c r="N38" s="110"/>
      <c r="P38" s="104"/>
      <c r="Q38" s="104"/>
    </row>
    <row r="39" spans="1:17" ht="29.1">
      <c r="A39" s="87" t="str">
        <f>'TAB 2- MAIN'!B11</f>
        <v>CID-A9</v>
      </c>
      <c r="B39" s="125" t="str">
        <f>'DASHBOARD DATA'!A24</f>
        <v>INSTRUCTIONAL LEADERSHIP ON PEDAGOGY FOR NON-MAPEH MAJORS</v>
      </c>
      <c r="C39" s="125"/>
      <c r="D39" s="125"/>
      <c r="E39" s="125"/>
      <c r="F39" s="125"/>
      <c r="G39" s="125"/>
      <c r="H39" s="125"/>
      <c r="J39" s="88" t="str">
        <f>'TAB 2- MAIN'!A11</f>
        <v>DOC GALICIA</v>
      </c>
      <c r="L39" s="89" t="str">
        <f>'TAB 2- MAIN'!P11</f>
        <v>REFINEMENT</v>
      </c>
      <c r="N39" s="110"/>
      <c r="P39" s="104"/>
      <c r="Q39" s="104"/>
    </row>
    <row r="40" spans="1:17" ht="30" thickBot="1">
      <c r="A40" s="87" t="str">
        <f>'TAB 2- MAIN'!B12</f>
        <v>CID-A10</v>
      </c>
      <c r="B40" s="125" t="str">
        <f>'DASHBOARD DATA'!A25</f>
        <v>ADVANCING STEM LEARNING: Capacitating Senior High School teachers for the Strengthened Mathematics and Science Curriculum</v>
      </c>
      <c r="C40" s="125"/>
      <c r="D40" s="125"/>
      <c r="E40" s="125"/>
      <c r="F40" s="125"/>
      <c r="G40" s="125"/>
      <c r="H40" s="125"/>
      <c r="J40" s="88" t="str">
        <f>'TAB 2- MAIN'!A12</f>
        <v>DOC SORIANO
DOC PRONDO
DOC LLANERA</v>
      </c>
      <c r="L40" s="89" t="str">
        <f>'TAB 2- MAIN'!P12</f>
        <v>REFINEMENT</v>
      </c>
      <c r="N40" s="110"/>
      <c r="P40" s="104"/>
      <c r="Q40" s="104"/>
    </row>
    <row r="41" spans="1:17" ht="29.1">
      <c r="A41" s="87" t="str">
        <f>'TAB 2- MAIN'!B13</f>
        <v>CID-A11</v>
      </c>
      <c r="B41" s="125" t="str">
        <f>'DASHBOARD DATA'!A26</f>
        <v>Advancing Instructional Leadership on Pedagogical, Precision, and Interdisciplinary Practice for VALSNED Teachers</v>
      </c>
      <c r="C41" s="125"/>
      <c r="D41" s="125"/>
      <c r="E41" s="125"/>
      <c r="F41" s="125"/>
      <c r="G41" s="125"/>
      <c r="H41" s="125"/>
      <c r="J41" s="88" t="str">
        <f>'TAB 2- MAIN'!A13</f>
        <v>DOC PANGAN</v>
      </c>
      <c r="L41" s="89" t="str">
        <f>'TAB 2- MAIN'!P13</f>
        <v>REFINEMENT</v>
      </c>
      <c r="N41" s="121" t="s">
        <v>25</v>
      </c>
      <c r="P41" s="104"/>
      <c r="Q41" s="104"/>
    </row>
    <row r="42" spans="1:17" ht="29.1">
      <c r="A42" s="87" t="str">
        <f>'TAB 2- MAIN'!B14</f>
        <v>CID-A12</v>
      </c>
      <c r="B42" s="125" t="str">
        <f>'DASHBOARD DATA'!A27</f>
        <v xml:space="preserve">PRACTICAL  KINDERGARTEN STRATEGIES IN UNDERSTANDING AND MANAGING LEARNER BEHAVIOR </v>
      </c>
      <c r="C42" s="125"/>
      <c r="D42" s="125"/>
      <c r="E42" s="125"/>
      <c r="F42" s="125"/>
      <c r="G42" s="125"/>
      <c r="H42" s="125"/>
      <c r="J42" s="88" t="str">
        <f>'TAB 2- MAIN'!A14</f>
        <v>DOC MATIC</v>
      </c>
      <c r="L42" s="89" t="str">
        <f>'TAB 2- MAIN'!P14</f>
        <v>REFINEMENT</v>
      </c>
      <c r="N42" s="122"/>
      <c r="P42" s="104"/>
      <c r="Q42" s="104"/>
    </row>
    <row r="43" spans="1:17" ht="29.1">
      <c r="A43" s="87" t="str">
        <f>'TAB 2- MAIN'!B15</f>
        <v>CID-A13</v>
      </c>
      <c r="B43" s="125" t="str">
        <f>'DASHBOARD DATA'!A28</f>
        <v>Capacity Building for Araling Panlipunan Master Teachers on Instructional Coaching, Mentoring &amp; Classroom Observation Protocols</v>
      </c>
      <c r="C43" s="125"/>
      <c r="D43" s="125"/>
      <c r="E43" s="125"/>
      <c r="F43" s="125"/>
      <c r="G43" s="125"/>
      <c r="H43" s="125"/>
      <c r="J43" s="88" t="str">
        <f>'TAB 2- MAIN'!A15</f>
        <v>ASDS ERNEST</v>
      </c>
      <c r="L43" s="89" t="str">
        <f>'TAB 2- MAIN'!P15</f>
        <v>REFINEMENT</v>
      </c>
      <c r="N43" s="122"/>
      <c r="P43" s="104"/>
      <c r="Q43" s="104"/>
    </row>
    <row r="44" spans="1:17" ht="30" thickBot="1">
      <c r="A44" s="91" t="str">
        <f>'TAB 2- MAIN'!B16</f>
        <v>CID-A14</v>
      </c>
      <c r="B44" s="126" t="str">
        <f>'DASHBOARD DATA'!A29</f>
        <v xml:space="preserve">IMPACT: Integrating Modern Pedagogy, Assessment, Competencies, and Technology </v>
      </c>
      <c r="C44" s="126"/>
      <c r="D44" s="126"/>
      <c r="E44" s="126"/>
      <c r="F44" s="126"/>
      <c r="G44" s="126"/>
      <c r="H44" s="126"/>
      <c r="I44" s="86"/>
      <c r="J44" s="92" t="str">
        <f>'TAB 2- MAIN'!A16</f>
        <v>DOC MANIQUIS</v>
      </c>
      <c r="K44" s="86"/>
      <c r="L44" s="93" t="str">
        <f>'TAB 2- MAIN'!P16</f>
        <v>REFINEMENT</v>
      </c>
      <c r="N44" s="123"/>
      <c r="P44" s="104"/>
      <c r="Q44" s="104"/>
    </row>
    <row r="45" spans="1:17" s="68" customFormat="1" ht="18.95"/>
    <row r="46" spans="1:17" ht="29.1">
      <c r="A46" s="113"/>
      <c r="B46" s="114"/>
      <c r="C46" s="113"/>
      <c r="D46" s="113"/>
      <c r="E46" s="113"/>
      <c r="F46" s="113"/>
      <c r="G46" s="113"/>
      <c r="H46" s="113"/>
      <c r="I46" s="113"/>
      <c r="J46" s="113"/>
      <c r="K46" s="113"/>
      <c r="L46" s="113"/>
      <c r="M46" s="113"/>
      <c r="N46" s="113"/>
      <c r="O46" s="113"/>
      <c r="P46" s="113"/>
      <c r="Q46" s="113"/>
    </row>
    <row r="47" spans="1:17">
      <c r="A47" s="113"/>
      <c r="B47" s="113"/>
      <c r="C47" s="113"/>
      <c r="D47" s="113"/>
      <c r="E47" s="113"/>
      <c r="F47" s="113"/>
      <c r="G47" s="113"/>
      <c r="H47" s="113"/>
      <c r="I47" s="113"/>
      <c r="J47" s="113"/>
      <c r="K47" s="113"/>
      <c r="L47" s="113"/>
      <c r="M47" s="113"/>
      <c r="N47" s="113"/>
      <c r="O47" s="113"/>
      <c r="P47" s="113"/>
      <c r="Q47" s="113"/>
    </row>
    <row r="48" spans="1:17">
      <c r="A48" s="113"/>
      <c r="B48" s="113"/>
      <c r="C48" s="113"/>
      <c r="D48" s="113"/>
      <c r="E48" s="113"/>
      <c r="F48" s="113"/>
      <c r="G48" s="113"/>
      <c r="H48" s="113"/>
      <c r="I48" s="113"/>
      <c r="J48" s="113"/>
      <c r="K48" s="113"/>
      <c r="L48" s="113"/>
      <c r="M48" s="113"/>
      <c r="N48" s="113"/>
      <c r="O48" s="113"/>
      <c r="P48" s="113"/>
      <c r="Q48" s="113"/>
    </row>
    <row r="49" spans="1:17">
      <c r="A49" s="113"/>
      <c r="B49" s="113"/>
      <c r="C49" s="113"/>
      <c r="D49" s="113"/>
      <c r="E49" s="113"/>
      <c r="F49" s="113"/>
      <c r="G49" s="113"/>
      <c r="H49" s="113"/>
      <c r="I49" s="113"/>
      <c r="J49" s="113"/>
      <c r="K49" s="113"/>
      <c r="L49" s="113"/>
      <c r="M49" s="113"/>
      <c r="N49" s="113"/>
      <c r="O49" s="113"/>
      <c r="P49" s="113"/>
      <c r="Q49" s="113"/>
    </row>
    <row r="50" spans="1:17">
      <c r="A50" s="113"/>
      <c r="B50" s="113"/>
      <c r="C50" s="113"/>
      <c r="D50" s="113"/>
      <c r="E50" s="113"/>
      <c r="F50" s="113"/>
      <c r="G50" s="113"/>
      <c r="H50" s="113"/>
      <c r="I50" s="113"/>
      <c r="J50" s="113"/>
      <c r="K50" s="113"/>
      <c r="L50" s="113"/>
      <c r="M50" s="113"/>
      <c r="N50" s="113"/>
      <c r="O50" s="113"/>
      <c r="P50" s="113"/>
      <c r="Q50" s="113"/>
    </row>
    <row r="51" spans="1:17">
      <c r="A51" s="113"/>
      <c r="B51" s="113"/>
      <c r="C51" s="113"/>
      <c r="D51" s="113"/>
      <c r="E51" s="113"/>
      <c r="F51" s="113"/>
      <c r="G51" s="113"/>
      <c r="H51" s="113"/>
      <c r="I51" s="113"/>
      <c r="J51" s="113"/>
      <c r="K51" s="113"/>
      <c r="L51" s="113"/>
      <c r="M51" s="113"/>
      <c r="N51" s="113"/>
      <c r="O51" s="113"/>
      <c r="P51" s="113"/>
      <c r="Q51" s="113"/>
    </row>
  </sheetData>
  <sheetProtection algorithmName="SHA-512" hashValue="6HXaRVBQhqqZ9N9TRSthNE9l/EdRNvUo5X8eJkezvdhNYHI///oCUNC+g5cyElmayt+ZPZabldjVF76qpwx8jw==" saltValue="jw2lgsGHYuRrOvONWP1tkg==" spinCount="100000" sheet="1"/>
  <mergeCells count="21">
    <mergeCell ref="G22:G28"/>
    <mergeCell ref="B31:H31"/>
    <mergeCell ref="B32:H32"/>
    <mergeCell ref="B33:H33"/>
    <mergeCell ref="B34:H34"/>
    <mergeCell ref="K28:L28"/>
    <mergeCell ref="N27:N28"/>
    <mergeCell ref="N32:N35"/>
    <mergeCell ref="N41:N44"/>
    <mergeCell ref="A1:Q1"/>
    <mergeCell ref="B41:H41"/>
    <mergeCell ref="B42:H42"/>
    <mergeCell ref="B43:H43"/>
    <mergeCell ref="B44:H44"/>
    <mergeCell ref="B35:H35"/>
    <mergeCell ref="B36:H36"/>
    <mergeCell ref="B37:H37"/>
    <mergeCell ref="B38:H38"/>
    <mergeCell ref="B39:H39"/>
    <mergeCell ref="B40:H40"/>
    <mergeCell ref="H22:H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24CC-72ED-8D4F-8884-BDE70FEA2B58}">
  <dimension ref="A1:T17"/>
  <sheetViews>
    <sheetView topLeftCell="H1" zoomScale="120" zoomScaleNormal="120" workbookViewId="0">
      <pane ySplit="1" topLeftCell="A2" activePane="bottomLeft" state="frozen"/>
      <selection pane="bottomLeft" activeCell="H3" sqref="H3"/>
    </sheetView>
  </sheetViews>
  <sheetFormatPr defaultColWidth="11" defaultRowHeight="15.95"/>
  <cols>
    <col min="1" max="1" width="13.125" style="2" customWidth="1"/>
    <col min="2" max="2" width="10.875" style="3"/>
    <col min="3" max="4" width="23.625" style="2" customWidth="1"/>
    <col min="5" max="5" width="17" style="6" bestFit="1" customWidth="1"/>
    <col min="6" max="8" width="12.625" style="6" customWidth="1"/>
    <col min="9" max="9" width="24.875" style="6" customWidth="1"/>
    <col min="10" max="10" width="22.5" style="6" customWidth="1"/>
    <col min="11" max="11" width="23.5" style="6" customWidth="1"/>
    <col min="12" max="12" width="20.875" style="6" customWidth="1"/>
    <col min="13" max="13" width="17.5" style="6" customWidth="1"/>
    <col min="14" max="14" width="12.5" style="6" customWidth="1"/>
    <col min="15" max="15" width="12.125" style="6" customWidth="1"/>
    <col min="16" max="16" width="13.125" style="6" customWidth="1"/>
    <col min="17" max="17" width="13" style="6" customWidth="1"/>
    <col min="18" max="19" width="10.875" style="6"/>
    <col min="20" max="20" width="10.875" style="7"/>
  </cols>
  <sheetData>
    <row r="1" spans="1:20" ht="69" customHeight="1" thickBot="1">
      <c r="A1" s="136" t="s">
        <v>23</v>
      </c>
      <c r="B1" s="45" t="s">
        <v>26</v>
      </c>
      <c r="C1" s="136" t="s">
        <v>27</v>
      </c>
      <c r="D1" s="9" t="s">
        <v>28</v>
      </c>
      <c r="E1" s="9" t="s">
        <v>29</v>
      </c>
      <c r="F1" s="9" t="s">
        <v>30</v>
      </c>
      <c r="G1" s="9" t="s">
        <v>31</v>
      </c>
      <c r="H1" s="9" t="s">
        <v>32</v>
      </c>
      <c r="I1" s="29" t="s">
        <v>33</v>
      </c>
      <c r="J1" s="30" t="s">
        <v>34</v>
      </c>
      <c r="K1" s="30" t="s">
        <v>35</v>
      </c>
      <c r="L1" s="30" t="s">
        <v>36</v>
      </c>
      <c r="M1" s="38" t="s">
        <v>37</v>
      </c>
      <c r="N1" s="39" t="s">
        <v>38</v>
      </c>
      <c r="O1" s="133" t="s">
        <v>39</v>
      </c>
      <c r="P1" s="134"/>
      <c r="Q1" s="135"/>
    </row>
    <row r="2" spans="1:20" s="3" customFormat="1" ht="222" thickBot="1">
      <c r="A2" s="137"/>
      <c r="B2" s="46" t="s">
        <v>40</v>
      </c>
      <c r="C2" s="137"/>
      <c r="D2" s="10"/>
      <c r="E2" s="25" t="s">
        <v>41</v>
      </c>
      <c r="F2" s="26" t="s">
        <v>42</v>
      </c>
      <c r="G2" s="26" t="s">
        <v>43</v>
      </c>
      <c r="H2" s="25" t="s">
        <v>44</v>
      </c>
      <c r="I2" s="27" t="s">
        <v>45</v>
      </c>
      <c r="J2" s="28" t="s">
        <v>46</v>
      </c>
      <c r="K2" s="28" t="s">
        <v>47</v>
      </c>
      <c r="L2" s="28" t="s">
        <v>48</v>
      </c>
      <c r="M2" s="25" t="s">
        <v>49</v>
      </c>
      <c r="N2" s="40" t="s">
        <v>50</v>
      </c>
      <c r="O2" s="51" t="s">
        <v>51</v>
      </c>
      <c r="P2" s="13" t="s">
        <v>52</v>
      </c>
      <c r="Q2" s="51" t="s">
        <v>53</v>
      </c>
      <c r="R2" s="4"/>
      <c r="S2" s="4"/>
      <c r="T2" s="8"/>
    </row>
    <row r="3" spans="1:20" ht="186" customHeight="1">
      <c r="A3" s="47" t="s">
        <v>54</v>
      </c>
      <c r="B3" s="48" t="s">
        <v>55</v>
      </c>
      <c r="C3" s="47" t="s">
        <v>56</v>
      </c>
      <c r="D3" s="22" t="s">
        <v>57</v>
      </c>
      <c r="E3" s="22" t="s">
        <v>57</v>
      </c>
      <c r="F3" s="23" t="s">
        <v>57</v>
      </c>
      <c r="G3" s="23" t="s">
        <v>57</v>
      </c>
      <c r="H3" s="23" t="s">
        <v>58</v>
      </c>
      <c r="I3" s="19" t="s">
        <v>59</v>
      </c>
      <c r="J3" s="21" t="s">
        <v>57</v>
      </c>
      <c r="K3" s="20" t="s">
        <v>60</v>
      </c>
      <c r="L3" s="20" t="s">
        <v>61</v>
      </c>
      <c r="M3" s="21" t="s">
        <v>57</v>
      </c>
      <c r="N3" s="41" t="s">
        <v>57</v>
      </c>
      <c r="O3" s="22">
        <f>COUNTIF(D3:N3, "PASSED")</f>
        <v>7</v>
      </c>
      <c r="P3" s="44">
        <f>11-O3</f>
        <v>4</v>
      </c>
      <c r="Q3" s="15" t="s">
        <v>62</v>
      </c>
    </row>
    <row r="4" spans="1:20" ht="84.95">
      <c r="A4" s="49" t="s">
        <v>63</v>
      </c>
      <c r="B4" s="50" t="s">
        <v>64</v>
      </c>
      <c r="C4" s="49" t="s">
        <v>65</v>
      </c>
      <c r="D4" s="16"/>
      <c r="E4" s="22" t="s">
        <v>57</v>
      </c>
      <c r="F4" s="24" t="s">
        <v>66</v>
      </c>
      <c r="G4" s="24" t="s">
        <v>66</v>
      </c>
      <c r="H4" s="24" t="s">
        <v>66</v>
      </c>
      <c r="I4" s="24" t="s">
        <v>66</v>
      </c>
      <c r="J4" s="24" t="s">
        <v>66</v>
      </c>
      <c r="K4" s="24" t="s">
        <v>66</v>
      </c>
      <c r="L4" s="24" t="s">
        <v>66</v>
      </c>
      <c r="M4" s="24" t="s">
        <v>66</v>
      </c>
      <c r="N4" s="42" t="s">
        <v>66</v>
      </c>
      <c r="O4" s="24" t="s">
        <v>66</v>
      </c>
      <c r="P4" s="44" t="e">
        <f t="shared" ref="P4:P16" si="0">11-O4</f>
        <v>#VALUE!</v>
      </c>
      <c r="Q4" s="15" t="s">
        <v>62</v>
      </c>
    </row>
    <row r="5" spans="1:20" ht="272.10000000000002">
      <c r="A5" s="49" t="s">
        <v>67</v>
      </c>
      <c r="B5" s="50" t="s">
        <v>68</v>
      </c>
      <c r="C5" s="49" t="s">
        <v>69</v>
      </c>
      <c r="D5" s="16"/>
      <c r="E5" s="22" t="s">
        <v>57</v>
      </c>
      <c r="F5" s="23" t="s">
        <v>57</v>
      </c>
      <c r="G5" s="23" t="s">
        <v>57</v>
      </c>
      <c r="H5" s="23" t="s">
        <v>57</v>
      </c>
      <c r="I5" s="19" t="s">
        <v>70</v>
      </c>
      <c r="J5" s="20" t="s">
        <v>71</v>
      </c>
      <c r="K5" s="20" t="s">
        <v>60</v>
      </c>
      <c r="L5" s="20" t="s">
        <v>72</v>
      </c>
      <c r="M5" s="21" t="s">
        <v>57</v>
      </c>
      <c r="N5" s="41" t="s">
        <v>57</v>
      </c>
      <c r="O5" s="22">
        <f t="shared" ref="O5:O16" si="1">COUNTIF(E5:N5, "PASSED")</f>
        <v>6</v>
      </c>
      <c r="P5" s="44">
        <f t="shared" si="0"/>
        <v>5</v>
      </c>
      <c r="Q5" s="15" t="s">
        <v>62</v>
      </c>
    </row>
    <row r="6" spans="1:20" ht="360" customHeight="1">
      <c r="A6" s="49" t="s">
        <v>73</v>
      </c>
      <c r="B6" s="50" t="s">
        <v>74</v>
      </c>
      <c r="C6" s="49" t="s">
        <v>75</v>
      </c>
      <c r="D6" s="16"/>
      <c r="E6" s="22" t="s">
        <v>57</v>
      </c>
      <c r="F6" s="23" t="s">
        <v>57</v>
      </c>
      <c r="G6" s="23" t="s">
        <v>57</v>
      </c>
      <c r="H6" s="23" t="s">
        <v>57</v>
      </c>
      <c r="I6" s="19" t="s">
        <v>76</v>
      </c>
      <c r="J6" s="21" t="s">
        <v>57</v>
      </c>
      <c r="K6" s="20" t="s">
        <v>77</v>
      </c>
      <c r="L6" s="21" t="s">
        <v>57</v>
      </c>
      <c r="M6" s="21" t="s">
        <v>57</v>
      </c>
      <c r="N6" s="43" t="s">
        <v>78</v>
      </c>
      <c r="O6" s="22">
        <f t="shared" si="1"/>
        <v>7</v>
      </c>
      <c r="P6" s="44">
        <f t="shared" si="0"/>
        <v>4</v>
      </c>
      <c r="Q6" s="15" t="s">
        <v>62</v>
      </c>
    </row>
    <row r="7" spans="1:20" ht="356.1">
      <c r="A7" s="49" t="s">
        <v>79</v>
      </c>
      <c r="B7" s="50" t="s">
        <v>80</v>
      </c>
      <c r="C7" s="49" t="s">
        <v>81</v>
      </c>
      <c r="D7" s="16"/>
      <c r="E7" s="22" t="s">
        <v>57</v>
      </c>
      <c r="F7" s="23" t="s">
        <v>57</v>
      </c>
      <c r="G7" s="23" t="s">
        <v>57</v>
      </c>
      <c r="H7" s="23" t="s">
        <v>82</v>
      </c>
      <c r="I7" s="19" t="s">
        <v>83</v>
      </c>
      <c r="J7" s="21" t="s">
        <v>57</v>
      </c>
      <c r="K7" s="20" t="s">
        <v>84</v>
      </c>
      <c r="L7" s="21" t="s">
        <v>85</v>
      </c>
      <c r="M7" s="21" t="s">
        <v>57</v>
      </c>
      <c r="N7" s="41" t="s">
        <v>57</v>
      </c>
      <c r="O7" s="22">
        <f t="shared" si="1"/>
        <v>6</v>
      </c>
      <c r="P7" s="44">
        <f t="shared" si="0"/>
        <v>5</v>
      </c>
      <c r="Q7" s="15" t="s">
        <v>62</v>
      </c>
    </row>
    <row r="8" spans="1:20" ht="68.099999999999994">
      <c r="A8" s="49" t="s">
        <v>86</v>
      </c>
      <c r="B8" s="50" t="s">
        <v>87</v>
      </c>
      <c r="C8" s="49" t="s">
        <v>88</v>
      </c>
      <c r="D8" s="16"/>
      <c r="E8" s="22" t="s">
        <v>57</v>
      </c>
      <c r="F8" s="24" t="s">
        <v>66</v>
      </c>
      <c r="G8" s="24" t="s">
        <v>66</v>
      </c>
      <c r="H8" s="24" t="s">
        <v>66</v>
      </c>
      <c r="I8" s="24" t="s">
        <v>66</v>
      </c>
      <c r="J8" s="24" t="s">
        <v>66</v>
      </c>
      <c r="K8" s="24" t="s">
        <v>66</v>
      </c>
      <c r="L8" s="24" t="s">
        <v>66</v>
      </c>
      <c r="M8" s="24" t="s">
        <v>66</v>
      </c>
      <c r="N8" s="42" t="s">
        <v>66</v>
      </c>
      <c r="O8" s="24" t="s">
        <v>66</v>
      </c>
      <c r="P8" s="44" t="e">
        <f t="shared" si="0"/>
        <v>#VALUE!</v>
      </c>
      <c r="Q8" s="15" t="s">
        <v>62</v>
      </c>
    </row>
    <row r="9" spans="1:20" ht="221.1">
      <c r="A9" s="49" t="s">
        <v>89</v>
      </c>
      <c r="B9" s="50" t="s">
        <v>90</v>
      </c>
      <c r="C9" s="49" t="s">
        <v>91</v>
      </c>
      <c r="D9" s="16"/>
      <c r="E9" s="22" t="s">
        <v>57</v>
      </c>
      <c r="F9" s="23" t="s">
        <v>57</v>
      </c>
      <c r="G9" s="23" t="s">
        <v>57</v>
      </c>
      <c r="H9" s="23" t="s">
        <v>57</v>
      </c>
      <c r="I9" s="19" t="s">
        <v>92</v>
      </c>
      <c r="J9" s="21" t="s">
        <v>57</v>
      </c>
      <c r="K9" s="20" t="s">
        <v>93</v>
      </c>
      <c r="L9" s="20" t="s">
        <v>72</v>
      </c>
      <c r="M9" s="21" t="s">
        <v>57</v>
      </c>
      <c r="N9" s="43" t="s">
        <v>94</v>
      </c>
      <c r="O9" s="22">
        <f t="shared" si="1"/>
        <v>6</v>
      </c>
      <c r="P9" s="44">
        <f t="shared" si="0"/>
        <v>5</v>
      </c>
      <c r="Q9" s="15" t="s">
        <v>62</v>
      </c>
    </row>
    <row r="10" spans="1:20" ht="339.95">
      <c r="A10" s="49" t="s">
        <v>73</v>
      </c>
      <c r="B10" s="50" t="s">
        <v>95</v>
      </c>
      <c r="C10" s="49" t="s">
        <v>96</v>
      </c>
      <c r="D10" s="16"/>
      <c r="E10" s="22" t="s">
        <v>57</v>
      </c>
      <c r="F10" s="23" t="s">
        <v>57</v>
      </c>
      <c r="G10" s="23" t="s">
        <v>57</v>
      </c>
      <c r="H10" s="23" t="s">
        <v>57</v>
      </c>
      <c r="I10" s="19" t="s">
        <v>97</v>
      </c>
      <c r="J10" s="20" t="s">
        <v>98</v>
      </c>
      <c r="K10" s="20" t="s">
        <v>99</v>
      </c>
      <c r="L10" s="20" t="s">
        <v>100</v>
      </c>
      <c r="M10" s="21" t="s">
        <v>101</v>
      </c>
      <c r="N10" s="43" t="s">
        <v>78</v>
      </c>
      <c r="O10" s="22">
        <f t="shared" si="1"/>
        <v>4</v>
      </c>
      <c r="P10" s="44">
        <f t="shared" si="0"/>
        <v>7</v>
      </c>
      <c r="Q10" s="15" t="s">
        <v>62</v>
      </c>
    </row>
    <row r="11" spans="1:20" ht="68.099999999999994">
      <c r="A11" s="49" t="s">
        <v>102</v>
      </c>
      <c r="B11" s="50" t="s">
        <v>103</v>
      </c>
      <c r="C11" s="49" t="s">
        <v>104</v>
      </c>
      <c r="D11" s="16"/>
      <c r="E11" s="22" t="s">
        <v>57</v>
      </c>
      <c r="F11" s="24" t="s">
        <v>66</v>
      </c>
      <c r="G11" s="24" t="s">
        <v>66</v>
      </c>
      <c r="H11" s="24" t="s">
        <v>66</v>
      </c>
      <c r="I11" s="24" t="s">
        <v>66</v>
      </c>
      <c r="J11" s="24" t="s">
        <v>66</v>
      </c>
      <c r="K11" s="24" t="s">
        <v>66</v>
      </c>
      <c r="L11" s="24" t="s">
        <v>66</v>
      </c>
      <c r="M11" s="24" t="s">
        <v>66</v>
      </c>
      <c r="N11" s="42" t="s">
        <v>66</v>
      </c>
      <c r="O11" s="24" t="s">
        <v>66</v>
      </c>
      <c r="P11" s="44" t="e">
        <f t="shared" si="0"/>
        <v>#VALUE!</v>
      </c>
      <c r="Q11" s="15" t="s">
        <v>62</v>
      </c>
    </row>
    <row r="12" spans="1:20" ht="221.1">
      <c r="A12" s="49" t="s">
        <v>105</v>
      </c>
      <c r="B12" s="50" t="s">
        <v>106</v>
      </c>
      <c r="C12" s="49" t="s">
        <v>107</v>
      </c>
      <c r="D12" s="16"/>
      <c r="E12" s="22" t="s">
        <v>57</v>
      </c>
      <c r="F12" s="23" t="s">
        <v>57</v>
      </c>
      <c r="G12" s="23" t="s">
        <v>57</v>
      </c>
      <c r="H12" s="23" t="s">
        <v>57</v>
      </c>
      <c r="I12" s="19" t="s">
        <v>92</v>
      </c>
      <c r="J12" s="23" t="s">
        <v>57</v>
      </c>
      <c r="K12" s="23" t="s">
        <v>57</v>
      </c>
      <c r="L12" s="21" t="s">
        <v>108</v>
      </c>
      <c r="M12" s="21" t="s">
        <v>57</v>
      </c>
      <c r="N12" s="43" t="s">
        <v>94</v>
      </c>
      <c r="O12" s="22">
        <f t="shared" si="1"/>
        <v>7</v>
      </c>
      <c r="P12" s="44">
        <f t="shared" si="0"/>
        <v>4</v>
      </c>
      <c r="Q12" s="15" t="s">
        <v>62</v>
      </c>
    </row>
    <row r="13" spans="1:20" ht="84.95">
      <c r="A13" s="49" t="s">
        <v>63</v>
      </c>
      <c r="B13" s="50" t="s">
        <v>109</v>
      </c>
      <c r="C13" s="49" t="s">
        <v>110</v>
      </c>
      <c r="D13" s="16"/>
      <c r="E13" s="22" t="s">
        <v>57</v>
      </c>
      <c r="F13" s="24" t="s">
        <v>66</v>
      </c>
      <c r="G13" s="24" t="s">
        <v>66</v>
      </c>
      <c r="H13" s="24" t="s">
        <v>66</v>
      </c>
      <c r="I13" s="24" t="s">
        <v>66</v>
      </c>
      <c r="J13" s="24" t="s">
        <v>66</v>
      </c>
      <c r="K13" s="24" t="s">
        <v>66</v>
      </c>
      <c r="L13" s="24" t="s">
        <v>66</v>
      </c>
      <c r="M13" s="24" t="s">
        <v>66</v>
      </c>
      <c r="N13" s="42" t="s">
        <v>66</v>
      </c>
      <c r="O13" s="24" t="s">
        <v>66</v>
      </c>
      <c r="P13" s="44" t="e">
        <f t="shared" si="0"/>
        <v>#VALUE!</v>
      </c>
      <c r="Q13" s="15" t="s">
        <v>62</v>
      </c>
    </row>
    <row r="14" spans="1:20" ht="221.1">
      <c r="A14" s="49" t="s">
        <v>111</v>
      </c>
      <c r="B14" s="50" t="s">
        <v>112</v>
      </c>
      <c r="C14" s="49" t="s">
        <v>113</v>
      </c>
      <c r="D14" s="16"/>
      <c r="E14" s="22" t="s">
        <v>57</v>
      </c>
      <c r="F14" s="23" t="s">
        <v>57</v>
      </c>
      <c r="G14" s="23" t="s">
        <v>57</v>
      </c>
      <c r="H14" s="23" t="s">
        <v>57</v>
      </c>
      <c r="I14" s="19" t="s">
        <v>114</v>
      </c>
      <c r="J14" s="21" t="s">
        <v>57</v>
      </c>
      <c r="K14" s="20" t="s">
        <v>115</v>
      </c>
      <c r="L14" s="20" t="s">
        <v>72</v>
      </c>
      <c r="M14" s="20" t="s">
        <v>116</v>
      </c>
      <c r="N14" s="41">
        <f>SUM(J14:M14)</f>
        <v>0</v>
      </c>
      <c r="O14" s="22">
        <f t="shared" si="1"/>
        <v>5</v>
      </c>
      <c r="P14" s="44">
        <f t="shared" si="0"/>
        <v>6</v>
      </c>
      <c r="Q14" s="15" t="s">
        <v>62</v>
      </c>
    </row>
    <row r="15" spans="1:20" ht="102">
      <c r="A15" s="49" t="s">
        <v>117</v>
      </c>
      <c r="B15" s="50" t="s">
        <v>118</v>
      </c>
      <c r="C15" s="49" t="s">
        <v>119</v>
      </c>
      <c r="D15" s="16"/>
      <c r="E15" s="22" t="s">
        <v>57</v>
      </c>
      <c r="F15" s="24" t="s">
        <v>66</v>
      </c>
      <c r="G15" s="24" t="s">
        <v>66</v>
      </c>
      <c r="H15" s="24" t="s">
        <v>66</v>
      </c>
      <c r="I15" s="24" t="s">
        <v>66</v>
      </c>
      <c r="J15" s="24" t="s">
        <v>66</v>
      </c>
      <c r="K15" s="24" t="s">
        <v>66</v>
      </c>
      <c r="L15" s="24" t="s">
        <v>66</v>
      </c>
      <c r="M15" s="24" t="s">
        <v>66</v>
      </c>
      <c r="N15" s="42" t="s">
        <v>66</v>
      </c>
      <c r="O15" s="24" t="s">
        <v>66</v>
      </c>
      <c r="P15" s="44" t="e">
        <f t="shared" si="0"/>
        <v>#VALUE!</v>
      </c>
      <c r="Q15" s="15" t="s">
        <v>62</v>
      </c>
    </row>
    <row r="16" spans="1:20" ht="408" customHeight="1">
      <c r="A16" s="49" t="s">
        <v>120</v>
      </c>
      <c r="B16" s="50" t="s">
        <v>121</v>
      </c>
      <c r="C16" s="49" t="s">
        <v>122</v>
      </c>
      <c r="D16" s="16"/>
      <c r="E16" s="22" t="s">
        <v>57</v>
      </c>
      <c r="F16" s="23" t="s">
        <v>57</v>
      </c>
      <c r="G16" s="23" t="s">
        <v>123</v>
      </c>
      <c r="H16" s="23" t="s">
        <v>57</v>
      </c>
      <c r="I16" s="19" t="s">
        <v>124</v>
      </c>
      <c r="J16" s="20" t="s">
        <v>125</v>
      </c>
      <c r="K16" s="20" t="s">
        <v>126</v>
      </c>
      <c r="L16" s="21" t="s">
        <v>57</v>
      </c>
      <c r="M16" s="21" t="s">
        <v>57</v>
      </c>
      <c r="N16" s="41" t="s">
        <v>57</v>
      </c>
      <c r="O16" s="22">
        <f t="shared" si="1"/>
        <v>6</v>
      </c>
      <c r="P16" s="44">
        <f t="shared" si="0"/>
        <v>5</v>
      </c>
      <c r="Q16" s="15" t="s">
        <v>62</v>
      </c>
    </row>
    <row r="17" spans="17:17">
      <c r="Q17" s="6">
        <f>COUNTIF(Q3:Q16,"ALL QA COMPLIANCE INDICATORS MET")</f>
        <v>0</v>
      </c>
    </row>
  </sheetData>
  <sheetProtection algorithmName="SHA-512" hashValue="82JrqnAVYANGIwVBNink7IZdU1jNbtQmG3f7Nb7Y8KtNGlTFluwm2KO3FgNh5tveQm3tY8fbDcHFtrqvQAfsqA==" saltValue="LKcdGllYSQHdXrYBVZX4hQ==" spinCount="100000" sheet="1"/>
  <mergeCells count="3">
    <mergeCell ref="O1:Q1"/>
    <mergeCell ref="A1:A2"/>
    <mergeCell ref="C1:C2"/>
  </mergeCells>
  <conditionalFormatting sqref="D3">
    <cfRule type="containsText" dxfId="15" priority="1" operator="containsText" text="NO PROPOSAL SUBMITTED FOR QA">
      <formula>NOT(ISERROR(SEARCH("NO PROPOSAL SUBMITTED FOR QA",D3)))</formula>
    </cfRule>
    <cfRule type="containsText" dxfId="14" priority="2" operator="containsText" text="PASSED">
      <formula>NOT(ISERROR(SEARCH("PASSED",D3)))</formula>
    </cfRule>
  </conditionalFormatting>
  <conditionalFormatting sqref="E3:N16">
    <cfRule type="containsText" dxfId="13" priority="9" operator="containsText" text="NO PROPOSAL SUBMITTED FOR QA">
      <formula>NOT(ISERROR(SEARCH("NO PROPOSAL SUBMITTED FOR QA",E3)))</formula>
    </cfRule>
  </conditionalFormatting>
  <conditionalFormatting sqref="E3:O16">
    <cfRule type="containsText" dxfId="12" priority="10" operator="containsText" text="PASSED">
      <formula>NOT(ISERROR(SEARCH("PASSED",E3)))</formula>
    </cfRule>
  </conditionalFormatting>
  <conditionalFormatting sqref="O4">
    <cfRule type="containsText" dxfId="11" priority="8" operator="containsText" text="NO PROPOSAL SUBMITTED FOR QA">
      <formula>NOT(ISERROR(SEARCH("NO PROPOSAL SUBMITTED FOR QA",O4)))</formula>
    </cfRule>
  </conditionalFormatting>
  <conditionalFormatting sqref="O8">
    <cfRule type="containsText" dxfId="10" priority="7" operator="containsText" text="NO PROPOSAL SUBMITTED FOR QA">
      <formula>NOT(ISERROR(SEARCH("NO PROPOSAL SUBMITTED FOR QA",O8)))</formula>
    </cfRule>
  </conditionalFormatting>
  <conditionalFormatting sqref="O11">
    <cfRule type="containsText" dxfId="9" priority="6" operator="containsText" text="NO PROPOSAL SUBMITTED FOR QA">
      <formula>NOT(ISERROR(SEARCH("NO PROPOSAL SUBMITTED FOR QA",O11)))</formula>
    </cfRule>
  </conditionalFormatting>
  <conditionalFormatting sqref="O13">
    <cfRule type="containsText" dxfId="8" priority="5" operator="containsText" text="NO PROPOSAL SUBMITTED FOR QA">
      <formula>NOT(ISERROR(SEARCH("NO PROPOSAL SUBMITTED FOR QA",O13)))</formula>
    </cfRule>
  </conditionalFormatting>
  <conditionalFormatting sqref="O15">
    <cfRule type="containsText" dxfId="7" priority="4" operator="containsText" text="NO PROPOSAL SUBMITTED FOR QA">
      <formula>NOT(ISERROR(SEARCH("NO PROPOSAL SUBMITTED FOR QA",O15)))</formula>
    </cfRule>
  </conditionalFormatting>
  <conditionalFormatting sqref="Q3:Q16">
    <cfRule type="containsText" dxfId="6" priority="3" operator="containsText" text="NOT ALL QA COMPLIANCE INDICATORS MET">
      <formula>NOT(ISERROR(SEARCH("NOT ALL QA COMPLIANCE INDICATORS MET",Q3)))</formula>
    </cfRule>
  </conditionalFormatting>
  <dataValidations count="1">
    <dataValidation type="list" allowBlank="1" showInputMessage="1" showErrorMessage="1" sqref="Q3:Q16" xr:uid="{FBF3E231-1054-624B-BAAA-9B3064F961D4}">
      <formula1>"ALL QA COMPLIANCE INDICATORS MET, NOT ALL QA COMPLIANCE INDICATORS MET"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B6D4-E295-0441-8575-0B14D4DEB3AC}">
  <dimension ref="A1:T32"/>
  <sheetViews>
    <sheetView zoomScale="120" zoomScaleNormal="120" workbookViewId="0">
      <pane ySplit="1" topLeftCell="A2" activePane="bottomLeft" state="frozen"/>
      <selection pane="bottomLeft" activeCell="C10" sqref="C10"/>
    </sheetView>
  </sheetViews>
  <sheetFormatPr defaultColWidth="11" defaultRowHeight="15.95"/>
  <cols>
    <col min="1" max="1" width="13.125" style="2" customWidth="1"/>
    <col min="2" max="2" width="10.875" style="3"/>
    <col min="3" max="3" width="39.375" style="2" customWidth="1"/>
    <col min="4" max="4" width="17" style="6" bestFit="1" customWidth="1"/>
    <col min="5" max="5" width="15.5" style="6" bestFit="1" customWidth="1"/>
    <col min="6" max="6" width="12.625" style="6" customWidth="1"/>
    <col min="7" max="7" width="12" style="6" bestFit="1" customWidth="1"/>
    <col min="8" max="9" width="17.375" style="6" bestFit="1" customWidth="1"/>
    <col min="10" max="11" width="8.875" style="6" customWidth="1"/>
    <col min="12" max="13" width="10.375" style="6" customWidth="1"/>
    <col min="14" max="14" width="13" style="6" customWidth="1"/>
    <col min="15" max="15" width="14.375" style="6" customWidth="1"/>
    <col min="16" max="19" width="10.875" style="6"/>
    <col min="20" max="20" width="10.875" style="7"/>
  </cols>
  <sheetData>
    <row r="1" spans="1:20" ht="33.950000000000003" customHeight="1" thickBot="1">
      <c r="A1" s="138" t="s">
        <v>23</v>
      </c>
      <c r="B1" s="140" t="s">
        <v>127</v>
      </c>
      <c r="C1" s="140" t="s">
        <v>27</v>
      </c>
      <c r="D1" s="142" t="s">
        <v>128</v>
      </c>
      <c r="E1" s="144" t="s">
        <v>129</v>
      </c>
      <c r="F1" s="144" t="s">
        <v>130</v>
      </c>
      <c r="G1" s="144" t="s">
        <v>131</v>
      </c>
      <c r="H1" s="148" t="s">
        <v>132</v>
      </c>
      <c r="I1" s="149"/>
      <c r="J1" s="150" t="s">
        <v>133</v>
      </c>
      <c r="K1" s="151"/>
      <c r="L1" s="151"/>
      <c r="M1" s="151"/>
      <c r="N1" s="152"/>
      <c r="O1" s="146" t="s">
        <v>134</v>
      </c>
      <c r="P1" s="6" t="s">
        <v>135</v>
      </c>
    </row>
    <row r="2" spans="1:20" s="5" customFormat="1" ht="51">
      <c r="A2" s="139"/>
      <c r="B2" s="141"/>
      <c r="C2" s="141"/>
      <c r="D2" s="143"/>
      <c r="E2" s="145"/>
      <c r="F2" s="145"/>
      <c r="G2" s="145"/>
      <c r="H2" s="11" t="s">
        <v>136</v>
      </c>
      <c r="I2" s="12" t="s">
        <v>137</v>
      </c>
      <c r="J2" s="13" t="s">
        <v>138</v>
      </c>
      <c r="K2" s="13" t="s">
        <v>139</v>
      </c>
      <c r="L2" s="13" t="s">
        <v>140</v>
      </c>
      <c r="M2" s="13" t="s">
        <v>141</v>
      </c>
      <c r="N2" s="14" t="s">
        <v>142</v>
      </c>
      <c r="O2" s="147"/>
      <c r="P2" s="6"/>
      <c r="Q2" s="6"/>
      <c r="R2" s="6"/>
      <c r="S2" s="6"/>
      <c r="T2" s="7"/>
    </row>
    <row r="3" spans="1:20" ht="68.099999999999994">
      <c r="A3" s="31" t="s">
        <v>54</v>
      </c>
      <c r="B3" s="32" t="s">
        <v>55</v>
      </c>
      <c r="C3" s="31" t="s">
        <v>56</v>
      </c>
      <c r="D3" s="33" t="s">
        <v>143</v>
      </c>
      <c r="E3" s="17">
        <v>744000</v>
      </c>
      <c r="F3" s="17">
        <v>744000</v>
      </c>
      <c r="G3" s="17">
        <f>E3-F3</f>
        <v>0</v>
      </c>
      <c r="H3" s="18">
        <v>46153</v>
      </c>
      <c r="I3" s="18">
        <v>46155</v>
      </c>
      <c r="J3" s="34">
        <v>100</v>
      </c>
      <c r="K3" s="34">
        <v>10</v>
      </c>
      <c r="L3" s="34">
        <v>0</v>
      </c>
      <c r="M3" s="34">
        <v>14</v>
      </c>
      <c r="N3" s="34">
        <f>SUM(J3:M3)</f>
        <v>124</v>
      </c>
      <c r="O3" s="33" t="s">
        <v>144</v>
      </c>
      <c r="P3" s="6" t="s">
        <v>145</v>
      </c>
    </row>
    <row r="4" spans="1:20" ht="51">
      <c r="A4" s="31" t="s">
        <v>63</v>
      </c>
      <c r="B4" s="32" t="s">
        <v>64</v>
      </c>
      <c r="C4" s="31" t="s">
        <v>65</v>
      </c>
      <c r="D4" s="33" t="s">
        <v>144</v>
      </c>
      <c r="E4" s="17">
        <v>286000</v>
      </c>
      <c r="F4" s="17" t="s">
        <v>146</v>
      </c>
      <c r="G4" s="17" t="e">
        <f t="shared" ref="G4:G16" si="0">E4-F4</f>
        <v>#VALUE!</v>
      </c>
      <c r="H4" s="18" t="s">
        <v>146</v>
      </c>
      <c r="I4" s="18" t="s">
        <v>146</v>
      </c>
      <c r="J4" s="34" t="s">
        <v>146</v>
      </c>
      <c r="K4" s="34" t="s">
        <v>146</v>
      </c>
      <c r="L4" s="34" t="s">
        <v>146</v>
      </c>
      <c r="M4" s="34" t="s">
        <v>146</v>
      </c>
      <c r="N4" s="34">
        <f t="shared" ref="N4:N16" si="1">SUM(J4:M4)</f>
        <v>0</v>
      </c>
      <c r="O4" s="33" t="s">
        <v>144</v>
      </c>
      <c r="P4" s="6" t="s">
        <v>145</v>
      </c>
    </row>
    <row r="5" spans="1:20" ht="51">
      <c r="A5" s="31" t="s">
        <v>67</v>
      </c>
      <c r="B5" s="32" t="s">
        <v>68</v>
      </c>
      <c r="C5" s="31" t="s">
        <v>69</v>
      </c>
      <c r="D5" s="33" t="s">
        <v>143</v>
      </c>
      <c r="E5" s="17">
        <v>167070</v>
      </c>
      <c r="F5" s="17">
        <v>167070</v>
      </c>
      <c r="G5" s="17">
        <f t="shared" si="0"/>
        <v>0</v>
      </c>
      <c r="H5" s="18">
        <v>46161</v>
      </c>
      <c r="I5" s="18">
        <v>46163</v>
      </c>
      <c r="J5" s="34">
        <v>112</v>
      </c>
      <c r="K5" s="34">
        <v>4</v>
      </c>
      <c r="L5" s="34">
        <v>0</v>
      </c>
      <c r="M5" s="34">
        <v>18</v>
      </c>
      <c r="N5" s="34">
        <f t="shared" si="1"/>
        <v>134</v>
      </c>
      <c r="O5" s="33" t="s">
        <v>144</v>
      </c>
      <c r="P5" s="6" t="s">
        <v>145</v>
      </c>
    </row>
    <row r="6" spans="1:20" ht="33.950000000000003">
      <c r="A6" s="31" t="s">
        <v>73</v>
      </c>
      <c r="B6" s="32" t="s">
        <v>74</v>
      </c>
      <c r="C6" s="31" t="s">
        <v>75</v>
      </c>
      <c r="D6" s="33" t="s">
        <v>143</v>
      </c>
      <c r="E6" s="17">
        <v>694420</v>
      </c>
      <c r="F6" s="17">
        <v>694420</v>
      </c>
      <c r="G6" s="17">
        <f t="shared" si="0"/>
        <v>0</v>
      </c>
      <c r="H6" s="18">
        <v>46169</v>
      </c>
      <c r="I6" s="18">
        <v>46171</v>
      </c>
      <c r="J6" s="34">
        <v>93</v>
      </c>
      <c r="K6" s="34">
        <v>0</v>
      </c>
      <c r="L6" s="34">
        <v>0</v>
      </c>
      <c r="M6" s="34">
        <v>19</v>
      </c>
      <c r="N6" s="34">
        <f t="shared" si="1"/>
        <v>112</v>
      </c>
      <c r="O6" s="33" t="s">
        <v>144</v>
      </c>
      <c r="P6" s="6" t="s">
        <v>145</v>
      </c>
    </row>
    <row r="7" spans="1:20" ht="51">
      <c r="A7" s="31" t="s">
        <v>79</v>
      </c>
      <c r="B7" s="32" t="s">
        <v>80</v>
      </c>
      <c r="C7" s="31" t="s">
        <v>81</v>
      </c>
      <c r="D7" s="33" t="s">
        <v>143</v>
      </c>
      <c r="E7" s="17">
        <v>420000</v>
      </c>
      <c r="F7" s="17">
        <v>420000</v>
      </c>
      <c r="G7" s="17">
        <f t="shared" si="0"/>
        <v>0</v>
      </c>
      <c r="H7" s="18">
        <v>46148</v>
      </c>
      <c r="I7" s="18">
        <v>46150</v>
      </c>
      <c r="J7" s="34">
        <v>50</v>
      </c>
      <c r="K7" s="34">
        <v>0</v>
      </c>
      <c r="L7" s="34">
        <v>0</v>
      </c>
      <c r="M7" s="34">
        <v>20</v>
      </c>
      <c r="N7" s="34">
        <f t="shared" si="1"/>
        <v>70</v>
      </c>
      <c r="O7" s="33" t="s">
        <v>144</v>
      </c>
      <c r="P7" s="6" t="s">
        <v>145</v>
      </c>
    </row>
    <row r="8" spans="1:20" ht="33.950000000000003">
      <c r="A8" s="31" t="s">
        <v>86</v>
      </c>
      <c r="B8" s="32" t="s">
        <v>87</v>
      </c>
      <c r="C8" s="31" t="s">
        <v>88</v>
      </c>
      <c r="D8" s="33" t="s">
        <v>144</v>
      </c>
      <c r="E8" s="17">
        <v>235600</v>
      </c>
      <c r="F8" s="17" t="s">
        <v>146</v>
      </c>
      <c r="G8" s="17" t="e">
        <f t="shared" si="0"/>
        <v>#VALUE!</v>
      </c>
      <c r="H8" s="18">
        <v>46167</v>
      </c>
      <c r="I8" s="18">
        <v>46169</v>
      </c>
      <c r="J8" s="34" t="s">
        <v>146</v>
      </c>
      <c r="K8" s="34" t="s">
        <v>146</v>
      </c>
      <c r="L8" s="34" t="s">
        <v>146</v>
      </c>
      <c r="M8" s="34" t="s">
        <v>146</v>
      </c>
      <c r="N8" s="34">
        <f t="shared" si="1"/>
        <v>0</v>
      </c>
      <c r="O8" s="33" t="s">
        <v>144</v>
      </c>
      <c r="P8" s="6" t="s">
        <v>145</v>
      </c>
    </row>
    <row r="9" spans="1:20" ht="51">
      <c r="A9" s="31" t="s">
        <v>89</v>
      </c>
      <c r="B9" s="32" t="s">
        <v>90</v>
      </c>
      <c r="C9" s="31" t="s">
        <v>91</v>
      </c>
      <c r="D9" s="33" t="s">
        <v>143</v>
      </c>
      <c r="E9" s="17">
        <v>223550</v>
      </c>
      <c r="F9" s="17">
        <v>223550</v>
      </c>
      <c r="G9" s="17">
        <f t="shared" si="0"/>
        <v>0</v>
      </c>
      <c r="H9" s="18">
        <v>46174</v>
      </c>
      <c r="I9" s="18">
        <v>46176</v>
      </c>
      <c r="J9" s="34">
        <v>114</v>
      </c>
      <c r="K9" s="34">
        <v>4</v>
      </c>
      <c r="L9" s="34">
        <v>6</v>
      </c>
      <c r="M9" s="34">
        <v>11</v>
      </c>
      <c r="N9" s="34">
        <f t="shared" si="1"/>
        <v>135</v>
      </c>
      <c r="O9" s="33" t="s">
        <v>144</v>
      </c>
      <c r="P9" s="6" t="s">
        <v>145</v>
      </c>
    </row>
    <row r="10" spans="1:20" ht="51">
      <c r="A10" s="31" t="s">
        <v>73</v>
      </c>
      <c r="B10" s="32" t="s">
        <v>95</v>
      </c>
      <c r="C10" s="31" t="s">
        <v>96</v>
      </c>
      <c r="D10" s="33" t="s">
        <v>143</v>
      </c>
      <c r="E10" s="17">
        <v>420000</v>
      </c>
      <c r="F10" s="17">
        <v>420000</v>
      </c>
      <c r="G10" s="17">
        <f t="shared" si="0"/>
        <v>0</v>
      </c>
      <c r="H10" s="18">
        <v>46162</v>
      </c>
      <c r="I10" s="18">
        <v>46164</v>
      </c>
      <c r="J10" s="34">
        <v>51</v>
      </c>
      <c r="K10" s="34">
        <v>6</v>
      </c>
      <c r="L10" s="34">
        <v>0</v>
      </c>
      <c r="M10" s="34">
        <v>13</v>
      </c>
      <c r="N10" s="34">
        <f t="shared" si="1"/>
        <v>70</v>
      </c>
      <c r="O10" s="33" t="s">
        <v>144</v>
      </c>
      <c r="P10" s="6" t="s">
        <v>145</v>
      </c>
    </row>
    <row r="11" spans="1:20" ht="33.950000000000003">
      <c r="A11" s="31" t="s">
        <v>102</v>
      </c>
      <c r="B11" s="32" t="s">
        <v>103</v>
      </c>
      <c r="C11" s="31" t="s">
        <v>104</v>
      </c>
      <c r="D11" s="33" t="s">
        <v>144</v>
      </c>
      <c r="E11" s="17">
        <v>146200</v>
      </c>
      <c r="F11" s="17" t="s">
        <v>146</v>
      </c>
      <c r="G11" s="17" t="e">
        <f t="shared" si="0"/>
        <v>#VALUE!</v>
      </c>
      <c r="H11" s="18">
        <v>46174</v>
      </c>
      <c r="I11" s="18">
        <v>46176</v>
      </c>
      <c r="J11" s="34" t="s">
        <v>146</v>
      </c>
      <c r="K11" s="34" t="s">
        <v>146</v>
      </c>
      <c r="L11" s="34" t="s">
        <v>146</v>
      </c>
      <c r="M11" s="34" t="s">
        <v>146</v>
      </c>
      <c r="N11" s="34">
        <f t="shared" si="1"/>
        <v>0</v>
      </c>
      <c r="O11" s="33" t="s">
        <v>144</v>
      </c>
      <c r="P11" s="6" t="s">
        <v>145</v>
      </c>
    </row>
    <row r="12" spans="1:20" ht="68.099999999999994">
      <c r="A12" s="31" t="s">
        <v>105</v>
      </c>
      <c r="B12" s="32" t="s">
        <v>106</v>
      </c>
      <c r="C12" s="31" t="s">
        <v>107</v>
      </c>
      <c r="D12" s="33" t="s">
        <v>143</v>
      </c>
      <c r="E12" s="17">
        <v>115500</v>
      </c>
      <c r="F12" s="17">
        <v>115500</v>
      </c>
      <c r="G12" s="17">
        <f t="shared" si="0"/>
        <v>0</v>
      </c>
      <c r="H12" s="18">
        <v>46271</v>
      </c>
      <c r="I12" s="18">
        <v>46273</v>
      </c>
      <c r="J12" s="34">
        <v>100</v>
      </c>
      <c r="K12" s="34">
        <v>0</v>
      </c>
      <c r="L12" s="34">
        <v>0</v>
      </c>
      <c r="M12" s="34">
        <v>10</v>
      </c>
      <c r="N12" s="34">
        <f t="shared" si="1"/>
        <v>110</v>
      </c>
      <c r="O12" s="33" t="s">
        <v>144</v>
      </c>
      <c r="P12" s="6" t="s">
        <v>145</v>
      </c>
    </row>
    <row r="13" spans="1:20" ht="51">
      <c r="A13" s="31" t="s">
        <v>63</v>
      </c>
      <c r="B13" s="32" t="s">
        <v>109</v>
      </c>
      <c r="C13" s="31" t="s">
        <v>110</v>
      </c>
      <c r="D13" s="33" t="s">
        <v>144</v>
      </c>
      <c r="E13" s="17">
        <v>192000</v>
      </c>
      <c r="F13" s="17" t="s">
        <v>146</v>
      </c>
      <c r="G13" s="17" t="e">
        <f t="shared" si="0"/>
        <v>#VALUE!</v>
      </c>
      <c r="H13" s="18">
        <v>46167</v>
      </c>
      <c r="I13" s="18">
        <v>46169</v>
      </c>
      <c r="J13" s="34" t="s">
        <v>146</v>
      </c>
      <c r="K13" s="34" t="s">
        <v>146</v>
      </c>
      <c r="L13" s="34" t="s">
        <v>146</v>
      </c>
      <c r="M13" s="34" t="s">
        <v>146</v>
      </c>
      <c r="N13" s="34">
        <f t="shared" si="1"/>
        <v>0</v>
      </c>
      <c r="O13" s="33" t="s">
        <v>144</v>
      </c>
      <c r="P13" s="6" t="s">
        <v>145</v>
      </c>
    </row>
    <row r="14" spans="1:20" ht="51">
      <c r="A14" s="31" t="s">
        <v>111</v>
      </c>
      <c r="B14" s="32" t="s">
        <v>112</v>
      </c>
      <c r="C14" s="31" t="s">
        <v>113</v>
      </c>
      <c r="D14" s="33" t="s">
        <v>143</v>
      </c>
      <c r="E14" s="17">
        <v>197950</v>
      </c>
      <c r="F14" s="17">
        <v>197950</v>
      </c>
      <c r="G14" s="17">
        <f t="shared" si="0"/>
        <v>0</v>
      </c>
      <c r="H14" s="18">
        <v>46272</v>
      </c>
      <c r="I14" s="18">
        <v>46274</v>
      </c>
      <c r="J14" s="34">
        <v>88</v>
      </c>
      <c r="K14" s="34">
        <v>4</v>
      </c>
      <c r="L14" s="34">
        <v>6</v>
      </c>
      <c r="M14" s="34">
        <v>11</v>
      </c>
      <c r="N14" s="34">
        <f t="shared" si="1"/>
        <v>109</v>
      </c>
      <c r="O14" s="33" t="s">
        <v>144</v>
      </c>
      <c r="P14" s="6" t="s">
        <v>145</v>
      </c>
    </row>
    <row r="15" spans="1:20" ht="51">
      <c r="A15" s="31" t="s">
        <v>117</v>
      </c>
      <c r="B15" s="32" t="s">
        <v>118</v>
      </c>
      <c r="C15" s="31" t="s">
        <v>119</v>
      </c>
      <c r="D15" s="33" t="s">
        <v>144</v>
      </c>
      <c r="E15" s="17">
        <v>71680</v>
      </c>
      <c r="F15" s="17" t="s">
        <v>146</v>
      </c>
      <c r="G15" s="17" t="e">
        <f t="shared" si="0"/>
        <v>#VALUE!</v>
      </c>
      <c r="H15" s="18">
        <v>46274</v>
      </c>
      <c r="I15" s="18">
        <v>46275</v>
      </c>
      <c r="J15" s="34" t="s">
        <v>146</v>
      </c>
      <c r="K15" s="34" t="s">
        <v>146</v>
      </c>
      <c r="L15" s="34" t="s">
        <v>146</v>
      </c>
      <c r="M15" s="34" t="s">
        <v>146</v>
      </c>
      <c r="N15" s="34">
        <f t="shared" si="1"/>
        <v>0</v>
      </c>
      <c r="O15" s="33" t="s">
        <v>144</v>
      </c>
      <c r="P15" s="6" t="s">
        <v>145</v>
      </c>
    </row>
    <row r="16" spans="1:20" ht="33.950000000000003">
      <c r="A16" s="31" t="s">
        <v>120</v>
      </c>
      <c r="B16" s="32" t="s">
        <v>121</v>
      </c>
      <c r="C16" s="31" t="s">
        <v>122</v>
      </c>
      <c r="D16" s="33" t="s">
        <v>143</v>
      </c>
      <c r="E16" s="17">
        <v>209000</v>
      </c>
      <c r="F16" s="17">
        <v>208415</v>
      </c>
      <c r="G16" s="17">
        <f t="shared" si="0"/>
        <v>585</v>
      </c>
      <c r="H16" s="18">
        <v>46174</v>
      </c>
      <c r="I16" s="18">
        <v>46176</v>
      </c>
      <c r="J16" s="34">
        <v>132</v>
      </c>
      <c r="K16" s="34">
        <v>0</v>
      </c>
      <c r="L16" s="34">
        <v>0</v>
      </c>
      <c r="M16" s="34">
        <v>17</v>
      </c>
      <c r="N16" s="34">
        <f t="shared" si="1"/>
        <v>149</v>
      </c>
      <c r="O16" s="33" t="s">
        <v>144</v>
      </c>
      <c r="P16" s="6" t="s">
        <v>145</v>
      </c>
    </row>
    <row r="17" spans="1:20">
      <c r="A17" s="73"/>
      <c r="B17" s="74"/>
      <c r="C17" s="73"/>
      <c r="D17" s="75">
        <f>COUNTIF(D3:D16, "SUBMITTED")</f>
        <v>9</v>
      </c>
      <c r="E17" s="75"/>
      <c r="F17" s="75"/>
      <c r="G17" s="75">
        <f>COUNTIF(G3:G16,"&gt;1")</f>
        <v>1</v>
      </c>
      <c r="H17" s="75"/>
      <c r="I17" s="75"/>
      <c r="J17" s="75"/>
      <c r="K17" s="75"/>
      <c r="L17" s="75"/>
      <c r="M17" s="75"/>
      <c r="N17" s="75"/>
      <c r="O17" s="75"/>
      <c r="P17" s="75"/>
      <c r="Q17" s="75"/>
      <c r="R17" s="75"/>
      <c r="S17" s="75"/>
      <c r="T17" s="76"/>
    </row>
    <row r="18" spans="1:20" ht="17.100000000000001">
      <c r="A18" s="73"/>
      <c r="B18" s="74"/>
      <c r="C18" s="73"/>
      <c r="D18" s="75"/>
      <c r="E18" s="77">
        <f>SUM(E3:E16)</f>
        <v>4122970</v>
      </c>
      <c r="F18" s="75"/>
      <c r="G18" s="75"/>
      <c r="H18" s="75" t="s">
        <v>147</v>
      </c>
      <c r="I18" s="75">
        <v>7</v>
      </c>
      <c r="J18" s="78">
        <f>SUM(J3:J16)</f>
        <v>840</v>
      </c>
      <c r="K18" s="78">
        <f>SUM(K3:K16)</f>
        <v>28</v>
      </c>
      <c r="L18" s="78">
        <f>SUM(L3:L16)</f>
        <v>12</v>
      </c>
      <c r="M18" s="78">
        <f>SUM(M3:M16)</f>
        <v>133</v>
      </c>
      <c r="N18" s="78">
        <f>SUM(N3:N16)</f>
        <v>1013</v>
      </c>
      <c r="O18" s="75">
        <f>COUNTIF(O3:O16, "SUBMITTED")</f>
        <v>0</v>
      </c>
      <c r="P18" s="75"/>
      <c r="Q18" s="75"/>
      <c r="R18" s="75"/>
      <c r="S18" s="75"/>
      <c r="T18" s="76"/>
    </row>
    <row r="19" spans="1:20" ht="51">
      <c r="A19" s="73"/>
      <c r="B19" s="74"/>
      <c r="C19" s="73"/>
      <c r="D19" s="75"/>
      <c r="E19" s="75"/>
      <c r="F19" s="75"/>
      <c r="G19" s="75"/>
      <c r="H19" s="75" t="s">
        <v>148</v>
      </c>
      <c r="I19" s="75">
        <v>3</v>
      </c>
      <c r="J19" s="75" t="s">
        <v>138</v>
      </c>
      <c r="K19" s="75" t="s">
        <v>139</v>
      </c>
      <c r="L19" s="75" t="s">
        <v>140</v>
      </c>
      <c r="M19" s="75" t="s">
        <v>141</v>
      </c>
      <c r="N19" s="78">
        <f>SUM(J18:L18)</f>
        <v>880</v>
      </c>
      <c r="O19" s="75"/>
      <c r="P19" s="75"/>
      <c r="Q19" s="75"/>
      <c r="R19" s="75"/>
      <c r="S19" s="75"/>
      <c r="T19" s="76"/>
    </row>
    <row r="20" spans="1:20" ht="17.100000000000001">
      <c r="A20" s="73"/>
      <c r="B20" s="74"/>
      <c r="C20" s="73"/>
      <c r="D20" s="75"/>
      <c r="E20" s="75"/>
      <c r="F20" s="75"/>
      <c r="G20" s="75"/>
      <c r="H20" s="75" t="s">
        <v>149</v>
      </c>
      <c r="I20" s="75">
        <v>3</v>
      </c>
      <c r="J20" s="75"/>
      <c r="K20" s="75"/>
      <c r="L20" s="75"/>
      <c r="M20" s="75"/>
      <c r="N20" s="75"/>
      <c r="O20" s="75"/>
      <c r="P20" s="75"/>
      <c r="Q20" s="75"/>
      <c r="R20" s="75"/>
      <c r="S20" s="75"/>
      <c r="T20" s="76"/>
    </row>
    <row r="21" spans="1:20">
      <c r="A21" s="73"/>
      <c r="B21" s="74"/>
      <c r="C21" s="73"/>
      <c r="D21" s="75"/>
      <c r="E21" s="75"/>
      <c r="F21" s="75"/>
      <c r="G21" s="75"/>
      <c r="H21" s="75"/>
      <c r="I21" s="75"/>
      <c r="J21" s="75"/>
      <c r="K21" s="75"/>
      <c r="L21" s="75"/>
      <c r="M21" s="75"/>
      <c r="N21" s="75"/>
      <c r="O21" s="75"/>
      <c r="P21" s="75"/>
      <c r="Q21" s="75"/>
      <c r="R21" s="75"/>
      <c r="S21" s="75"/>
      <c r="T21" s="76"/>
    </row>
    <row r="22" spans="1:20">
      <c r="A22" s="73"/>
      <c r="B22" s="74"/>
      <c r="C22" s="73"/>
      <c r="D22" s="75"/>
      <c r="E22" s="75"/>
      <c r="F22" s="75"/>
      <c r="G22" s="75"/>
      <c r="H22" s="75"/>
      <c r="I22" s="75"/>
      <c r="J22" s="75"/>
      <c r="K22" s="75"/>
      <c r="L22" s="75"/>
      <c r="M22" s="75"/>
      <c r="N22" s="75"/>
      <c r="O22" s="75"/>
      <c r="P22" s="75"/>
      <c r="Q22" s="75"/>
      <c r="R22" s="75"/>
      <c r="S22" s="75"/>
      <c r="T22" s="76"/>
    </row>
    <row r="23" spans="1:20">
      <c r="A23" s="73"/>
      <c r="B23" s="74"/>
      <c r="C23" s="73"/>
      <c r="D23" s="75"/>
      <c r="E23" s="75"/>
      <c r="F23" s="75"/>
      <c r="G23" s="75"/>
      <c r="H23" s="75"/>
      <c r="I23" s="75"/>
      <c r="J23" s="75"/>
      <c r="K23" s="75"/>
      <c r="L23" s="75"/>
      <c r="M23" s="75"/>
      <c r="N23" s="75"/>
      <c r="O23" s="75"/>
      <c r="P23" s="75"/>
      <c r="Q23" s="75"/>
      <c r="R23" s="75"/>
      <c r="S23" s="75"/>
      <c r="T23" s="76"/>
    </row>
    <row r="24" spans="1:20">
      <c r="A24" s="73"/>
      <c r="B24" s="74"/>
      <c r="C24" s="73"/>
      <c r="D24" s="75"/>
      <c r="E24" s="75"/>
      <c r="F24" s="75"/>
      <c r="G24" s="75"/>
      <c r="H24" s="75"/>
      <c r="I24" s="75"/>
      <c r="J24" s="75"/>
      <c r="K24" s="75"/>
      <c r="L24" s="75"/>
      <c r="M24" s="75"/>
      <c r="N24" s="75"/>
      <c r="O24" s="75"/>
      <c r="P24" s="75"/>
      <c r="Q24" s="75"/>
      <c r="R24" s="75"/>
      <c r="S24" s="75"/>
      <c r="T24" s="76"/>
    </row>
    <row r="25" spans="1:20">
      <c r="A25" s="73"/>
      <c r="B25" s="74"/>
      <c r="C25" s="73"/>
      <c r="D25" s="75"/>
      <c r="E25" s="75"/>
      <c r="F25" s="75"/>
      <c r="G25" s="75"/>
      <c r="H25" s="75"/>
      <c r="I25" s="75"/>
      <c r="J25" s="75"/>
      <c r="K25" s="75"/>
      <c r="L25" s="75"/>
      <c r="M25" s="75"/>
      <c r="N25" s="75"/>
      <c r="O25" s="75"/>
      <c r="P25" s="75"/>
      <c r="Q25" s="75"/>
      <c r="R25" s="75"/>
      <c r="S25" s="75"/>
      <c r="T25" s="76"/>
    </row>
    <row r="26" spans="1:20">
      <c r="A26" s="73"/>
      <c r="B26" s="74"/>
      <c r="C26" s="73"/>
      <c r="D26" s="75"/>
      <c r="E26" s="75"/>
      <c r="F26" s="75"/>
      <c r="G26" s="75"/>
      <c r="H26" s="75"/>
      <c r="I26" s="75"/>
      <c r="J26" s="75"/>
      <c r="K26" s="75"/>
      <c r="L26" s="75"/>
      <c r="M26" s="75"/>
      <c r="N26" s="75"/>
      <c r="O26" s="75"/>
      <c r="P26" s="75"/>
      <c r="Q26" s="75"/>
      <c r="R26" s="75"/>
      <c r="S26" s="75"/>
      <c r="T26" s="76"/>
    </row>
    <row r="27" spans="1:20">
      <c r="A27" s="73"/>
      <c r="B27" s="74"/>
      <c r="C27" s="73"/>
      <c r="D27" s="75"/>
      <c r="E27" s="75"/>
      <c r="F27" s="75"/>
      <c r="G27" s="75"/>
      <c r="H27" s="75"/>
      <c r="I27" s="75"/>
      <c r="J27" s="75"/>
      <c r="K27" s="75"/>
      <c r="L27" s="75"/>
      <c r="M27" s="75"/>
      <c r="N27" s="75"/>
      <c r="O27" s="75"/>
      <c r="P27" s="75"/>
      <c r="Q27" s="75"/>
      <c r="R27" s="75"/>
      <c r="S27" s="75"/>
      <c r="T27" s="76"/>
    </row>
    <row r="28" spans="1:20">
      <c r="A28" s="73"/>
      <c r="B28" s="74"/>
      <c r="C28" s="73"/>
      <c r="D28" s="75"/>
      <c r="E28" s="75"/>
      <c r="F28" s="75"/>
      <c r="G28" s="75"/>
      <c r="H28" s="75"/>
      <c r="I28" s="75"/>
      <c r="J28" s="75"/>
      <c r="K28" s="75"/>
      <c r="L28" s="75"/>
      <c r="M28" s="75"/>
      <c r="N28" s="75"/>
      <c r="O28" s="75"/>
      <c r="P28" s="75"/>
      <c r="Q28" s="75"/>
      <c r="R28" s="75"/>
      <c r="S28" s="75"/>
      <c r="T28" s="76"/>
    </row>
    <row r="29" spans="1:20">
      <c r="A29" s="73"/>
      <c r="B29" s="74"/>
      <c r="C29" s="73"/>
      <c r="D29" s="75"/>
      <c r="E29" s="75"/>
      <c r="F29" s="75"/>
      <c r="G29" s="75"/>
      <c r="H29" s="75"/>
      <c r="I29" s="75"/>
      <c r="J29" s="75"/>
      <c r="K29" s="75"/>
      <c r="L29" s="75"/>
      <c r="M29" s="75"/>
      <c r="N29" s="75"/>
      <c r="O29" s="75"/>
      <c r="P29" s="75"/>
      <c r="Q29" s="75"/>
      <c r="R29" s="75"/>
      <c r="S29" s="75"/>
      <c r="T29" s="76"/>
    </row>
    <row r="30" spans="1:20">
      <c r="A30" s="73"/>
      <c r="B30" s="74"/>
      <c r="C30" s="73"/>
      <c r="D30" s="75"/>
      <c r="E30" s="75"/>
      <c r="F30" s="75"/>
      <c r="G30" s="75"/>
      <c r="H30" s="75"/>
      <c r="I30" s="75"/>
      <c r="J30" s="75"/>
      <c r="K30" s="75"/>
      <c r="L30" s="75"/>
      <c r="M30" s="75"/>
      <c r="N30" s="75"/>
      <c r="O30" s="75"/>
      <c r="P30" s="75"/>
      <c r="Q30" s="75"/>
      <c r="R30" s="75"/>
      <c r="S30" s="75"/>
      <c r="T30" s="76"/>
    </row>
    <row r="31" spans="1:20">
      <c r="A31" s="73"/>
      <c r="B31" s="74"/>
      <c r="C31" s="73"/>
      <c r="D31" s="75"/>
      <c r="E31" s="75"/>
      <c r="F31" s="75"/>
      <c r="G31" s="75"/>
      <c r="H31" s="75"/>
      <c r="I31" s="75"/>
      <c r="J31" s="75"/>
      <c r="K31" s="75"/>
      <c r="L31" s="75"/>
      <c r="M31" s="75"/>
      <c r="N31" s="75"/>
      <c r="O31" s="75"/>
      <c r="P31" s="75"/>
      <c r="Q31" s="75"/>
      <c r="R31" s="75"/>
      <c r="S31" s="75"/>
      <c r="T31" s="76"/>
    </row>
    <row r="32" spans="1:20">
      <c r="A32" s="73"/>
      <c r="B32" s="74"/>
      <c r="C32" s="73"/>
      <c r="D32" s="75"/>
      <c r="E32" s="75"/>
      <c r="F32" s="75"/>
      <c r="G32" s="75"/>
      <c r="H32" s="75"/>
      <c r="I32" s="75"/>
      <c r="J32" s="75"/>
      <c r="K32" s="75"/>
      <c r="L32" s="75"/>
      <c r="M32" s="75"/>
      <c r="N32" s="75"/>
      <c r="O32" s="75"/>
      <c r="P32" s="75"/>
      <c r="Q32" s="75"/>
      <c r="R32" s="75"/>
      <c r="S32" s="75"/>
      <c r="T32" s="76"/>
    </row>
  </sheetData>
  <sheetProtection algorithmName="SHA-512" hashValue="ZTQtV1sfryKKVlQ2whFI9qf1QQjA19K5nD2091iuQP5+kJwnKPIYAxg7dqnvXOqHtS1/mPtptah51+dZm1GhTw==" saltValue="Ygqo/iHZYY9GW6qe0+7ssw==" spinCount="100000" sheet="1"/>
  <autoFilter ref="G3:G16" xr:uid="{36A4B6D4-E295-0441-8575-0B14D4DEB3AC}"/>
  <mergeCells count="10">
    <mergeCell ref="O1:O2"/>
    <mergeCell ref="G1:G2"/>
    <mergeCell ref="F1:F2"/>
    <mergeCell ref="H1:I1"/>
    <mergeCell ref="J1:N1"/>
    <mergeCell ref="A1:A2"/>
    <mergeCell ref="B1:B2"/>
    <mergeCell ref="C1:C2"/>
    <mergeCell ref="D1:D2"/>
    <mergeCell ref="E1:E2"/>
  </mergeCells>
  <phoneticPr fontId="2" type="noConversion"/>
  <conditionalFormatting sqref="D3:D16">
    <cfRule type="containsText" dxfId="5" priority="2" operator="containsText" text="SUBMITTED">
      <formula>NOT(ISERROR(SEARCH("SUBMITTED",D3)))</formula>
    </cfRule>
    <cfRule type="containsText" dxfId="4" priority="6" operator="containsText" text="NO SUBMISSION">
      <formula>NOT(ISERROR(SEARCH("NO SUBMISSION",D3)))</formula>
    </cfRule>
    <cfRule type="containsText" dxfId="3" priority="7" operator="containsText" text="NO">
      <formula>NOT(ISERROR(SEARCH("NO",D3)))</formula>
    </cfRule>
  </conditionalFormatting>
  <conditionalFormatting sqref="G3:G16">
    <cfRule type="cellIs" dxfId="2" priority="1" operator="greaterThan">
      <formula>1</formula>
    </cfRule>
  </conditionalFormatting>
  <conditionalFormatting sqref="N3:N16">
    <cfRule type="cellIs" dxfId="1" priority="3" operator="lessThan">
      <formula>1</formula>
    </cfRule>
  </conditionalFormatting>
  <conditionalFormatting sqref="O3:O16">
    <cfRule type="containsText" dxfId="0" priority="5" operator="containsText" text="NO SUBMISSION">
      <formula>NOT(ISERROR(SEARCH("NO SUBMISSION",O3)))</formula>
    </cfRule>
  </conditionalFormatting>
  <dataValidations count="2">
    <dataValidation type="list" allowBlank="1" showInputMessage="1" showErrorMessage="1" sqref="D3:D16 O3:O16" xr:uid="{89281427-E042-1D46-B55C-4BA0AAD708DB}">
      <formula1>"SUBMITTED, NO SUBMISSION"</formula1>
    </dataValidation>
    <dataValidation type="list" allowBlank="1" showInputMessage="1" showErrorMessage="1" sqref="P3:P16" xr:uid="{3B628A0A-CF5A-964F-B521-2CEE4B8139FF}">
      <formula1>"REFINEMENT, FOR APPROVAL OF CHIEF, FOR PMIS"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Melvin Willy Roque</dc:creator>
  <cp:keywords/>
  <dc:description/>
  <cp:lastModifiedBy/>
  <cp:revision/>
  <dcterms:created xsi:type="dcterms:W3CDTF">2026-10-16T01:04:40Z</dcterms:created>
  <dcterms:modified xsi:type="dcterms:W3CDTF">2026-10-17T05:05:10Z</dcterms:modified>
  <cp:category/>
  <cp:contentStatus/>
</cp:coreProperties>
</file>